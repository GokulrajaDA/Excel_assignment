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larmathi\Downloads\"/>
    </mc:Choice>
  </mc:AlternateContent>
  <xr:revisionPtr revIDLastSave="0" documentId="13_ncr:1_{F0B500C5-1B3D-4C52-8F54-F244EE7C1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Formula 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K30" i="1"/>
  <c r="K2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22" i="1"/>
  <c r="K18" i="1"/>
  <c r="K14" i="1"/>
  <c r="K12" i="1"/>
  <c r="K10" i="1"/>
  <c r="K8" i="1"/>
  <c r="K4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24" i="1" l="1"/>
  <c r="K20" i="1"/>
  <c r="K26" i="1"/>
  <c r="K16" i="1"/>
  <c r="K2" i="1"/>
  <c r="K6" i="1"/>
</calcChain>
</file>

<file path=xl/sharedStrings.xml><?xml version="1.0" encoding="utf-8"?>
<sst xmlns="http://schemas.openxmlformats.org/spreadsheetml/2006/main" count="1123" uniqueCount="360">
  <si>
    <t>Emp_ID</t>
  </si>
  <si>
    <t>Employee_Name</t>
  </si>
  <si>
    <t>Department</t>
  </si>
  <si>
    <t>Region</t>
  </si>
  <si>
    <t>Month</t>
  </si>
  <si>
    <t>Units_Sold</t>
  </si>
  <si>
    <t>Unit_Price</t>
  </si>
  <si>
    <t>Total_Sales</t>
  </si>
  <si>
    <t>Target</t>
  </si>
  <si>
    <t>Commission_Rate</t>
  </si>
  <si>
    <t>EMP1011</t>
  </si>
  <si>
    <t>Karen Thomas</t>
  </si>
  <si>
    <t>Electronics</t>
  </si>
  <si>
    <t>North</t>
  </si>
  <si>
    <t>Dec</t>
  </si>
  <si>
    <t>Grocery</t>
  </si>
  <si>
    <t>Oct</t>
  </si>
  <si>
    <t>EMP1004</t>
  </si>
  <si>
    <t>david brown</t>
  </si>
  <si>
    <t>Central</t>
  </si>
  <si>
    <t>Jan</t>
  </si>
  <si>
    <t>EMP1007</t>
  </si>
  <si>
    <t>Grace Wilson</t>
  </si>
  <si>
    <t>Clothing</t>
  </si>
  <si>
    <t>West</t>
  </si>
  <si>
    <t>EMP1012</t>
  </si>
  <si>
    <t>liam jackson</t>
  </si>
  <si>
    <t>Sports</t>
  </si>
  <si>
    <t>East</t>
  </si>
  <si>
    <t>May</t>
  </si>
  <si>
    <t>EMP1002</t>
  </si>
  <si>
    <t>bob smith</t>
  </si>
  <si>
    <t>Jun</t>
  </si>
  <si>
    <t>EMP1009</t>
  </si>
  <si>
    <t>IVY TAYLOR</t>
  </si>
  <si>
    <t>Feb</t>
  </si>
  <si>
    <t>EMP1015</t>
  </si>
  <si>
    <t>OLIVIA LEE</t>
  </si>
  <si>
    <t>Furniture</t>
  </si>
  <si>
    <t>Apr</t>
  </si>
  <si>
    <t>EMP1013</t>
  </si>
  <si>
    <t>MONA HARRIS</t>
  </si>
  <si>
    <t>EMP1003</t>
  </si>
  <si>
    <t>CAROL WHITE</t>
  </si>
  <si>
    <t>EMP1010</t>
  </si>
  <si>
    <t>jack anderson</t>
  </si>
  <si>
    <t>South</t>
  </si>
  <si>
    <t>Nov</t>
  </si>
  <si>
    <t>EMP1014</t>
  </si>
  <si>
    <t>noah martin</t>
  </si>
  <si>
    <t>Jul</t>
  </si>
  <si>
    <t>EMP1006</t>
  </si>
  <si>
    <t>frank miller</t>
  </si>
  <si>
    <t>Sep</t>
  </si>
  <si>
    <t>Mar</t>
  </si>
  <si>
    <t>Aug</t>
  </si>
  <si>
    <t>EMP1008</t>
  </si>
  <si>
    <t>henry moore</t>
  </si>
  <si>
    <t>EMP1001</t>
  </si>
  <si>
    <t>Alice Johnson</t>
  </si>
  <si>
    <t>EMP1005</t>
  </si>
  <si>
    <t>EVE DAVIS</t>
  </si>
  <si>
    <t xml:space="preserve">  SUM()</t>
  </si>
  <si>
    <t>Q1</t>
  </si>
  <si>
    <t>Your manager wants to know the total revenue generated across all 200 transactions. Write a formula to calculate the Grand Total of the 'Total_Sales' column (column H).</t>
  </si>
  <si>
    <t>Answer: =SUM('Sales Data'!H2:H201)</t>
  </si>
  <si>
    <t>💡 Hint: SUM adds every value in the range.</t>
  </si>
  <si>
    <t>Q2</t>
  </si>
  <si>
    <t xml:space="preserve">  MIN() &amp; MAX()</t>
  </si>
  <si>
    <t>Q3</t>
  </si>
  <si>
    <t>HR wants to identify the lowest number of units sold in any single transaction to flag under-performing deals. Write a formula using MIN() on 'Units_Sold' (col F).</t>
  </si>
  <si>
    <t>Answer: =MIN('Sales Data'!F2:F201)</t>
  </si>
  <si>
    <t>💡 Hint: MIN returns the smallest value in the range.</t>
  </si>
  <si>
    <t>Q4</t>
  </si>
  <si>
    <t>The Sales Director wants to display the highest 'Total_Sales' value ever recorded to use in a leaderboard. Write a formula using MAX() on 'Total_Sales' (col H).</t>
  </si>
  <si>
    <t>Answer: =MAX('Sales Data'!H2:H201)</t>
  </si>
  <si>
    <t>💡 Hint: MAX returns the largest value in the range.</t>
  </si>
  <si>
    <t xml:space="preserve">  COUNT()</t>
  </si>
  <si>
    <t>Q5</t>
  </si>
  <si>
    <t>The payroll system needs a count of numeric entries in the 'Unit_Price' column (col G) to validate that no rows are missing prices. Use COUNT().</t>
  </si>
  <si>
    <t>Answer: =COUNT('Sales Data'!G2:G201)</t>
  </si>
  <si>
    <t>💡 Hint: COUNT counts only numeric cells; use COUNTA for text/any value.</t>
  </si>
  <si>
    <t>Q6</t>
  </si>
  <si>
    <t>An auditor wants to know how many rows have a recorded 'Commission_Rate' (col J). Use COUNT() to verify all 200 rows have a rate entered.</t>
  </si>
  <si>
    <t>Answer: =COUNT('Sales Data'!J2:J201)</t>
  </si>
  <si>
    <t>💡 Hint: Result should be 200 if no blanks exist.</t>
  </si>
  <si>
    <t xml:space="preserve">  AVERAGE()</t>
  </si>
  <si>
    <t>Q7</t>
  </si>
  <si>
    <t>Marketing wants the average 'Unit_Price' (col G) across all products to benchmark pricing strategy. Write the AVERAGE formula.</t>
  </si>
  <si>
    <t>Answer: =AVERAGE('Sales Data'!G2:G201)</t>
  </si>
  <si>
    <t>💡 Hint: AVERAGE = SUM / COUNT of numeric values.</t>
  </si>
  <si>
    <t>Q8</t>
  </si>
  <si>
    <t>The operations team needs the average 'Units_Sold' (col F) per transaction to set future inventory targets. Provide the formula.</t>
  </si>
  <si>
    <t>Answer: =AVERAGE('Sales Data'!F2:F201)</t>
  </si>
  <si>
    <t>💡 Hint: Helps understand typical order size.</t>
  </si>
  <si>
    <t xml:space="preserve">  AVERAGEIF()</t>
  </si>
  <si>
    <t>Q9</t>
  </si>
  <si>
    <t>The regional manager for the 'North' region wants to see the average 'Total_Sales' (col H) for North transactions only. Use AVERAGEIF on the Region column (col D).</t>
  </si>
  <si>
    <t>Answer: =AVERAGEIF('Sales Data'!D2:D201,"North",'Sales Data'!H2:H201)</t>
  </si>
  <si>
    <t>💡 Hint: Syntax: AVERAGEIF(range, criteria, average_range)</t>
  </si>
  <si>
    <t>Q10</t>
  </si>
  <si>
    <t>Leadership wants the average 'Units_Sold' (col F) only for the 'Electronics' department (col C). Write an AVERAGEIF formula.</t>
  </si>
  <si>
    <t>Answer: =AVERAGEIF('Sales Data'!C2:C201,"Electronics",'Sales Data'!F2:F201)</t>
  </si>
  <si>
    <t>💡 Hint: Criteria can be text strings in double quotes.</t>
  </si>
  <si>
    <t xml:space="preserve">  AVERAGEIFS()</t>
  </si>
  <si>
    <t>Q11</t>
  </si>
  <si>
    <t>A regional director needs the average 'Total_Sales' (col H) for the 'Electronics' department (col C) in the 'North' region (col D) only. Use AVERAGEIFS.</t>
  </si>
  <si>
    <t>Answer: =AVERAGEIFS('Sales Data'!H2:H201,'Sales Data'!C2:C201,"Electronics",'Sales Data'!D2:D201,"North")</t>
  </si>
  <si>
    <t>💡 Hint: AVERAGEIFS(avg_range, criteria_range1, criteria1, criteria_range2, criteria2, …)</t>
  </si>
  <si>
    <t>Q12</t>
  </si>
  <si>
    <t>The CFO wants the average commission rate (col J) for employees in the 'South' region (col D) who sold 'Furniture' (col C). Combine both conditions with AVERAGEIFS.</t>
  </si>
  <si>
    <t>Answer: =AVERAGEIFS('Sales Data'!J2:J201,'Sales Data'!D2:D201,"South",'Sales Data'!C2:C201,"Furniture")</t>
  </si>
  <si>
    <t>💡 Hint: Multiple criteria narrow down the average to a specific sub-group.</t>
  </si>
  <si>
    <t xml:space="preserve">  IF()</t>
  </si>
  <si>
    <t>Q13</t>
  </si>
  <si>
    <t>Create a 'Performance' flag in a helper column: if 'Total_Sales' (col H) exceeds the 'Target' (col I), display 'Met Target'; otherwise display 'Below Target'. Write the IF formula for row 2.</t>
  </si>
  <si>
    <t>Answer: =IF('Sales Data'!H2&gt;'Sales Data'!I2,"Met Target","Below Target")</t>
  </si>
  <si>
    <t>💡 Hint: IF(logical_test, value_if_true, value_if_false)</t>
  </si>
  <si>
    <t>Q14</t>
  </si>
  <si>
    <t>Apply a bonus rule: if 'Units_Sold' (col F) ≥ 100, the employee earns a $500 bonus; otherwise $0. Write the IF formula for row 2.</t>
  </si>
  <si>
    <t>Answer: =IF('Sales Data'!F2&gt;=100,500,0)</t>
  </si>
  <si>
    <t>💡 Hint: Use &gt;= for "greater than or equal to" comparisons.</t>
  </si>
  <si>
    <t xml:space="preserve">  SUMIF()</t>
  </si>
  <si>
    <t>Q15</t>
  </si>
  <si>
    <t>The East regional office needs total revenue (col H) generated only in the 'East' region (col D). Write a SUMIF formula.</t>
  </si>
  <si>
    <t>Answer: =SUMIF('Sales Data'!D2:D201,"East",'Sales Data'!H2:H201)</t>
  </si>
  <si>
    <t>💡 Hint: SUMIF(range, criteria, sum_range)</t>
  </si>
  <si>
    <t>Q16</t>
  </si>
  <si>
    <t>Finance needs the total 'Total_Sales' (col H) for all 'Sports' department transactions (col C). Use SUMIF.</t>
  </si>
  <si>
    <t>Answer: =SUMIF('Sales Data'!C2:C201,"Sports",'Sales Data'!H2:H201)</t>
  </si>
  <si>
    <t>💡 Hint: Criteria must exactly match the text in the data column.</t>
  </si>
  <si>
    <t xml:space="preserve">  COUNTIF()</t>
  </si>
  <si>
    <t>Q17</t>
  </si>
  <si>
    <t>HR needs a count of how many transactions were made by employees in the 'West' region (col D). Use COUNTIF.</t>
  </si>
  <si>
    <t>Answer: =COUNTIF('Sales Data'!D2:D201,"West")</t>
  </si>
  <si>
    <t>💡 Hint: COUNTIF(range, criteria) — no separate sum_range needed.</t>
  </si>
  <si>
    <t>Q18</t>
  </si>
  <si>
    <t>The inventory team wants to know how many transactions had 'Units_Sold' (col F) greater than 100. Write a COUNTIF formula.</t>
  </si>
  <si>
    <t>Answer: =COUNTIF('Sales Data'!F2:F201,"&gt;100")</t>
  </si>
  <si>
    <t>💡 Hint: Comparison operators inside criteria must be enclosed in double quotes.</t>
  </si>
  <si>
    <t xml:space="preserve">  RIGHT()</t>
  </si>
  <si>
    <t>Q19</t>
  </si>
  <si>
    <t>Extract the last 4 digits of each 'Emp_ID' (col A, e.g. 'EMP1001') to create a short numeric ID. Use RIGHT() for row 2.</t>
  </si>
  <si>
    <t>Answer: =RIGHT('Sales Data'!A2,4)</t>
  </si>
  <si>
    <t>💡 Hint: RIGHT(text, num_chars) — counts from the right end of the string.</t>
  </si>
  <si>
    <t>Q20</t>
  </si>
  <si>
    <t xml:space="preserve">  UPPER()</t>
  </si>
  <si>
    <t>Marketing wants all department names (col C) displayed in UPPERCASE for a printed report header. Write UPPER() for row 2.</t>
  </si>
  <si>
    <t>Answer: =UPPER('Sales Data'!C2)</t>
  </si>
  <si>
    <t>💡 Hint: UPPER(text) converts every letter to uppercase.</t>
  </si>
  <si>
    <t xml:space="preserve">  LOWER()</t>
  </si>
  <si>
    <t>The email system needs department names (col C) in all-lowercase to build email aliases (e.g. electronics@company.com). Write LOWER() for row 2.</t>
  </si>
  <si>
    <t>Answer: =LOWER('Sales Data'!C2)</t>
  </si>
  <si>
    <t>💡 Hint: LOWER(text) converts every letter to lowercase.</t>
  </si>
  <si>
    <t xml:space="preserve">📊  Excel Formula Practice — Sales Data Workbook 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</si>
  <si>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</si>
  <si>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</si>
  <si>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</si>
  <si>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</si>
  <si>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</si>
  <si>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</si>
  <si>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</si>
  <si>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</si>
  <si>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</si>
  <si>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</si>
  <si>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</si>
  <si>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</si>
  <si>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</si>
  <si>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</si>
  <si>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</si>
  <si>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</si>
  <si>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</si>
  <si>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</si>
  <si>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</si>
  <si>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</si>
  <si>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</si>
  <si>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</si>
  <si>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</si>
  <si>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</si>
  <si>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</si>
  <si>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</si>
  <si>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</si>
  <si>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</si>
  <si>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</si>
  <si>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</si>
  <si>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</si>
  <si>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</si>
  <si>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</si>
  <si>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</si>
  <si>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</si>
  <si>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</si>
  <si>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</si>
  <si>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</si>
  <si>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</si>
  <si>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</si>
  <si>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</si>
  <si>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</si>
  <si>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</si>
  <si>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</si>
  <si>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</si>
  <si>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</si>
  <si>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</si>
  <si>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</si>
  <si>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</si>
  <si>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</si>
  <si>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</si>
  <si>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</si>
  <si>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</si>
  <si>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</si>
  <si>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</si>
  <si>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</si>
  <si>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</si>
  <si>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</si>
  <si>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</si>
  <si>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</si>
  <si>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</si>
  <si>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</si>
  <si>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</si>
  <si>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</si>
  <si>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</si>
  <si>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</si>
  <si>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</si>
  <si>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</si>
  <si>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</si>
  <si>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</si>
  <si>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</si>
  <si>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</si>
  <si>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</si>
  <si>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</si>
  <si>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</si>
  <si>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</si>
  <si>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</si>
  <si>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</si>
  <si>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</si>
  <si>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</si>
  <si>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</si>
  <si>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</si>
  <si>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</si>
  <si>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</si>
  <si>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</si>
  <si>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</si>
  <si>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</si>
  <si>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</si>
  <si>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</si>
  <si>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</si>
  <si>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</si>
  <si>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</si>
  <si>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</si>
  <si>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</si>
  <si>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</si>
  <si>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</si>
  <si>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</si>
  <si>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</si>
  <si>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</si>
  <si>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</si>
  <si>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</si>
  <si>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</si>
  <si>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</si>
  <si>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</si>
  <si>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</si>
  <si>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</si>
  <si>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</si>
  <si>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</si>
  <si>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</si>
  <si>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</si>
  <si>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</si>
  <si>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</si>
  <si>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</si>
  <si>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</si>
  <si>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</si>
  <si>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</si>
  <si>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</si>
  <si>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</si>
  <si>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</si>
  <si>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</si>
  <si>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</si>
  <si>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</si>
  <si>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</si>
  <si>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</si>
  <si>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</si>
  <si>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</si>
  <si>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</si>
  <si>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</si>
  <si>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</si>
  <si>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</si>
  <si>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</si>
  <si>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</si>
  <si>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</si>
  <si>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</si>
  <si>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</si>
  <si>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</si>
  <si>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</si>
  <si>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</si>
  <si>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</si>
  <si>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</si>
  <si>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</si>
  <si>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</si>
  <si>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</si>
  <si>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</si>
  <si>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</si>
  <si>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</si>
  <si>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</si>
  <si>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</si>
  <si>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</si>
  <si>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</si>
  <si>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</si>
  <si>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</si>
  <si>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</si>
  <si>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</si>
  <si>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</si>
  <si>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</si>
  <si>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</si>
  <si>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</si>
  <si>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</si>
  <si>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</si>
  <si>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</si>
  <si>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</si>
  <si>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</si>
  <si>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</si>
  <si>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</si>
  <si>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</si>
  <si>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</si>
  <si>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</si>
  <si>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</si>
  <si>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</si>
  <si>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</si>
  <si>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</si>
  <si>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</si>
  <si>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</si>
  <si>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</si>
  <si>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</si>
  <si>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</si>
  <si>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</si>
  <si>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</si>
  <si>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</si>
  <si>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</si>
  <si>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</si>
  <si>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</si>
  <si>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</si>
  <si>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</si>
  <si>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TOTAL SALES</t>
  </si>
  <si>
    <t>MIN VALUE</t>
  </si>
  <si>
    <t>MAX SALES</t>
  </si>
  <si>
    <t>COUNT UNIT SOLD</t>
  </si>
  <si>
    <t>COUNT COMMISSION RATE</t>
  </si>
  <si>
    <t>AVG UNIT SOLD</t>
  </si>
  <si>
    <t>AVG UNIT PRICE</t>
  </si>
  <si>
    <t>AVERAGE IF NORTH</t>
  </si>
  <si>
    <t>AVERAGE IF ELECTRONICS</t>
  </si>
  <si>
    <t>AVERAGEIFS  NORTH ELECTRONICS</t>
  </si>
  <si>
    <t>AVERAGEIFS SOUTH FURNITURE</t>
  </si>
  <si>
    <t>IF</t>
  </si>
  <si>
    <t>IF BONUS</t>
  </si>
  <si>
    <t>SUMIF EAST</t>
  </si>
  <si>
    <t>SUMIF SPORTS</t>
  </si>
  <si>
    <t>COUNTIF WEST</t>
  </si>
  <si>
    <t>COUNTIF UNIT SOLD</t>
  </si>
  <si>
    <t>RIGHT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</si>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</sst>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1"/>
      <name val="Arial"/>
    </font>
    <font>
      <i/>
      <sz val="10"/>
      <color rgb="FF375623"/>
      <name val="Arial"/>
    </font>
    <font>
      <sz val="10"/>
      <color rgb="FF7030A0"/>
      <name val="Arial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6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8" fillId="0" borderId="0" xfId="0" applyFont="1" applyAlignment="1">
      <alignment vertical="top" wrapText="1" indent="2"/>
    </xf>
    <xf numFmtId="2" fontId="2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2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0" fontId="10" fillId="0" borderId="0" xfId="0" applyFont="1"/>
    <xf numFmtId="0" fontId="2" fillId="3" borderId="2" xfId="0" applyFont="1" applyFill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10" fontId="1" fillId="2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11" fillId="0" borderId="0" xfId="0" applyFont="1"/>
    <xf numFmtId="0" fontId="12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1" fillId="0" borderId="15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10" fontId="10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1" fillId="0" borderId="10" xfId="0" applyFont="1" applyBorder="1"/>
    <xf numFmtId="0" fontId="12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vertical="center" inden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DDEE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5897A-ECD6-4C8C-A2D9-732C6BADE76E}" name="sales" displayName="sales" ref="A1:P201" totalsRowShown="0" dataDxfId="18" headerRowBorderDxfId="19" tableBorderDxfId="17" totalsRowBorderDxfId="16">
  <autoFilter ref="A1:P201" xr:uid="{F875897A-ECD6-4C8C-A2D9-732C6BADE76E}"/>
  <tableColumns count="16">
    <tableColumn id="1" xr3:uid="{096169E2-8EDF-4C5D-9A93-F52DBDB2656F}" name="Emp_ID" dataDxfId="15"/>
    <tableColumn id="2" xr3:uid="{29F857D5-FFB7-4B24-AAA6-3E96C72C40AD}" name="Employee_Name" dataDxfId="14"/>
    <tableColumn id="3" xr3:uid="{C4CFCD8B-27CD-4B0E-8FEF-0E7CC91DF2DF}" name="Department" dataDxfId="13"/>
    <tableColumn id="4" xr3:uid="{ADEFB719-64B6-4BCE-9B18-2B96306D4AEB}" name="Region" dataDxfId="12"/>
    <tableColumn id="5" xr3:uid="{AE2ACD26-48CF-42B1-BAB6-E45E275087EC}" name="Month" dataDxfId="11"/>
    <tableColumn id="6" xr3:uid="{DCA428EF-AC12-48CF-A185-C34FA11A7A98}" name="Units_Sold" dataDxfId="10"/>
    <tableColumn id="7" xr3:uid="{E2646313-1FBB-4AA5-9692-2243F3B9F712}" name="Unit_Price" dataDxfId="9"/>
    <tableColumn id="8" xr3:uid="{A593629C-B787-46FE-9874-FC45F9BF1984}" name="Total_Sales" dataDxfId="8">
      <calculatedColumnFormula>F2*G2</calculatedColumnFormula>
    </tableColumn>
    <tableColumn id="9" xr3:uid="{99A26B75-A75F-4FBF-B258-10121D68662D}" name="Target" dataDxfId="7"/>
    <tableColumn id="10" xr3:uid="{2F4EC1E8-A9A1-4E22-8A30-CD1B91CE9794}" name="Commission_Rate" dataDxfId="6"/>
    <tableColumn id="12" xr3:uid="{1BA3A16E-994B-452B-9908-D1245A44A17A}" name="TOTAL SALES" dataDxfId="5"/>
    <tableColumn id="13" xr3:uid="{CE3C5524-922C-49EA-91E1-7FA56207973B}" name="IF" dataDxfId="4">
      <calculatedColumnFormula>IF(sales[[#This Row],[Target]]&gt;25000,"MET TARGET","BELOW TARGET")</calculatedColumnFormula>
    </tableColumn>
    <tableColumn id="14" xr3:uid="{C4CD5235-5543-4DBE-A5FF-837D887DE844}" name="IF BONUS" dataDxfId="3">
      <calculatedColumnFormula>IF(sales[[#This Row],[Units_Sold]]&gt;100,"500","0")</calculatedColumnFormula>
    </tableColumn>
    <tableColumn id="15" xr3:uid="{E31BE6CB-1726-44F5-B7F2-34565CCEF5CB}" name="RIGHT" dataDxfId="2">
      <calculatedColumnFormula>RIGHT(sales[[#This Row],[Emp_ID]],4)</calculatedColumnFormula>
    </tableColumn>
    <tableColumn id="16" xr3:uid="{20E5E7F1-E3CB-474F-A5CB-4BF33768F000}" name="UPPER" dataDxfId="1">
      <calculatedColumnFormula>UPPER(sales[[#This Row],[Department]])</calculatedColumnFormula>
    </tableColumn>
    <tableColumn id="17" xr3:uid="{598799E5-2427-46F0-A9C4-3A1C50DD0242}" name="LOWER" dataDxfId="0">
      <calculatedColumnFormula>LOWER(sales[[#This Row],[Department]])&amp;"@company.com"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topLeftCell="G1" zoomScaleNormal="100" workbookViewId="0">
      <pane ySplit="1" topLeftCell="A2" activePane="bottomLeft" state="frozen"/>
      <selection pane="bottomLeft" activeCell="P2" sqref="P2"/>
    </sheetView>
  </sheetViews>
  <sheetFormatPr defaultRowHeight="14.4" x14ac:dyDescent="0.3"/>
  <cols>
    <col min="1" max="1" width="13" bestFit="1" customWidth="1"/>
    <col min="2" max="2" width="22.33203125" bestFit="1" customWidth="1"/>
    <col min="3" max="3" width="16.88671875" bestFit="1" customWidth="1"/>
    <col min="4" max="4" width="12.33203125" bestFit="1" customWidth="1"/>
    <col min="5" max="5" width="11.44140625" bestFit="1" customWidth="1"/>
    <col min="6" max="6" width="15.88671875" bestFit="1" customWidth="1"/>
    <col min="7" max="7" width="15.44140625" style="9" bestFit="1" customWidth="1"/>
    <col min="8" max="8" width="16.6640625" style="12" bestFit="1" customWidth="1"/>
    <col min="9" max="9" width="11.6640625" style="12" bestFit="1" customWidth="1"/>
    <col min="10" max="10" width="23.44140625" style="13" bestFit="1" customWidth="1"/>
    <col min="11" max="11" width="33.44140625" bestFit="1" customWidth="1"/>
    <col min="12" max="12" width="15.33203125" bestFit="1" customWidth="1"/>
    <col min="13" max="13" width="11.21875" style="29" bestFit="1" customWidth="1"/>
    <col min="14" max="14" width="8.33203125" bestFit="1" customWidth="1"/>
    <col min="15" max="15" width="13.77734375" bestFit="1" customWidth="1"/>
    <col min="16" max="16" width="23.44140625" bestFit="1" customWidth="1"/>
  </cols>
  <sheetData>
    <row r="1" spans="1:17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21" t="s">
        <v>7</v>
      </c>
      <c r="I1" s="21" t="s">
        <v>8</v>
      </c>
      <c r="J1" s="22" t="s">
        <v>9</v>
      </c>
      <c r="K1" s="33" t="s">
        <v>340</v>
      </c>
      <c r="L1" s="40" t="s">
        <v>351</v>
      </c>
      <c r="M1" s="41" t="s">
        <v>352</v>
      </c>
      <c r="N1" s="28" t="s">
        <v>357</v>
      </c>
      <c r="O1" s="28" t="s">
        <v>358</v>
      </c>
      <c r="P1" s="28" t="s">
        <v>359</v>
      </c>
    </row>
    <row r="2" spans="1:17" ht="15" thickBot="1" x14ac:dyDescent="0.35">
      <c r="A2" s="15" t="s">
        <v>58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75</v>
      </c>
      <c r="G2" s="7">
        <v>130</v>
      </c>
      <c r="H2" s="10">
        <f t="shared" ref="H2:H33" si="0">F2*G2</f>
        <v>9750</v>
      </c>
      <c r="I2" s="10">
        <v>10144</v>
      </c>
      <c r="J2" s="16">
        <v>0.05</v>
      </c>
      <c r="K2" s="30">
        <f>SUM(sales[Total_Sales])</f>
        <v>5161952.3599999994</v>
      </c>
      <c r="L2" s="31" t="str">
        <f>IF(sales[[#This Row],[Target]]&gt;25000,"MET TARGET","BELOW TARGET")</f>
        <v>BELOW TARGET</v>
      </c>
      <c r="M2" s="31" t="str">
        <f>IF(sales[[#This Row],[Units_Sold]]&gt;100,"500","0")</f>
        <v>0</v>
      </c>
      <c r="N2" s="42" t="str">
        <f>RIGHT(sales[[#This Row],[Emp_ID]],4)</f>
        <v>1001</v>
      </c>
      <c r="O2" s="45" t="str">
        <f>UPPER(sales[[#This Row],[Department]])</f>
        <v>ELECTRONICS</v>
      </c>
      <c r="P2" s="45" t="str">
        <f>LOWER(sales[[#This Row],[Department]])&amp;"@company.com"</f>
        <v>electronics@company.com</v>
      </c>
    </row>
    <row r="3" spans="1:17" x14ac:dyDescent="0.3">
      <c r="A3" s="15" t="s">
        <v>30</v>
      </c>
      <c r="B3" s="2" t="s">
        <v>11</v>
      </c>
      <c r="C3" s="2" t="s">
        <v>15</v>
      </c>
      <c r="D3" s="2" t="s">
        <v>13</v>
      </c>
      <c r="E3" s="2" t="s">
        <v>16</v>
      </c>
      <c r="F3" s="2">
        <v>113</v>
      </c>
      <c r="G3" s="8">
        <v>25.57</v>
      </c>
      <c r="H3" s="11">
        <f t="shared" si="0"/>
        <v>2889.41</v>
      </c>
      <c r="I3" s="11">
        <v>7140</v>
      </c>
      <c r="J3" s="17">
        <v>7.0000000000000007E-2</v>
      </c>
      <c r="K3" s="37" t="s">
        <v>341</v>
      </c>
      <c r="L3" s="31" t="str">
        <f>IF(sales[[#This Row],[Target]]&gt;25000,"MET TARGET","BELOW TARGET")</f>
        <v>BELOW TARGET</v>
      </c>
      <c r="M3" s="31" t="str">
        <f>IF(sales[[#This Row],[Units_Sold]]&gt;100,"500","0")</f>
        <v>500</v>
      </c>
      <c r="N3" s="32" t="str">
        <f>RIGHT(sales[[#This Row],[Emp_ID]],4)</f>
        <v>1002</v>
      </c>
      <c r="O3" s="45" t="str">
        <f>UPPER(sales[[#This Row],[Department]])</f>
        <v>GROCERY</v>
      </c>
      <c r="P3" s="45" t="str">
        <f>LOWER(sales[[#This Row],[Department]])&amp;"@company.com"</f>
        <v>grocery@company.com</v>
      </c>
    </row>
    <row r="4" spans="1:17" ht="15" thickBot="1" x14ac:dyDescent="0.35">
      <c r="A4" s="15" t="s">
        <v>42</v>
      </c>
      <c r="B4" s="1" t="s">
        <v>18</v>
      </c>
      <c r="C4" s="1" t="s">
        <v>15</v>
      </c>
      <c r="D4" s="1" t="s">
        <v>19</v>
      </c>
      <c r="E4" s="1" t="s">
        <v>20</v>
      </c>
      <c r="F4" s="1">
        <v>148</v>
      </c>
      <c r="G4" s="7">
        <v>107.43</v>
      </c>
      <c r="H4" s="10">
        <f t="shared" si="0"/>
        <v>15899.640000000001</v>
      </c>
      <c r="I4" s="10">
        <v>43590</v>
      </c>
      <c r="J4" s="16">
        <v>0.12</v>
      </c>
      <c r="K4" s="34">
        <f>MIN(sales[Units_Sold])</f>
        <v>7</v>
      </c>
      <c r="L4" s="31" t="str">
        <f>IF(sales[[#This Row],[Target]]&gt;25000,"MET TARGET","BELOW TARGET")</f>
        <v>MET TARGET</v>
      </c>
      <c r="M4" s="31" t="str">
        <f>IF(sales[[#This Row],[Units_Sold]]&gt;100,"500","0")</f>
        <v>500</v>
      </c>
      <c r="N4" s="32" t="str">
        <f>RIGHT(sales[[#This Row],[Emp_ID]],4)</f>
        <v>1003</v>
      </c>
      <c r="O4" s="45" t="str">
        <f>UPPER(sales[[#This Row],[Department]])</f>
        <v>GROCERY</v>
      </c>
      <c r="P4" s="45" t="str">
        <f>LOWER(sales[[#This Row],[Department]])&amp;"@company.com"</f>
        <v>grocery@company.com</v>
      </c>
      <c r="Q4" s="13"/>
    </row>
    <row r="5" spans="1:17" x14ac:dyDescent="0.3">
      <c r="A5" s="15" t="s">
        <v>17</v>
      </c>
      <c r="B5" s="2" t="s">
        <v>22</v>
      </c>
      <c r="C5" s="2" t="s">
        <v>23</v>
      </c>
      <c r="D5" s="2" t="s">
        <v>24</v>
      </c>
      <c r="E5" s="2" t="s">
        <v>16</v>
      </c>
      <c r="F5" s="2">
        <v>76</v>
      </c>
      <c r="G5" s="8">
        <v>406.62</v>
      </c>
      <c r="H5" s="11">
        <f t="shared" si="0"/>
        <v>30903.119999999999</v>
      </c>
      <c r="I5" s="11">
        <v>1425</v>
      </c>
      <c r="J5" s="17">
        <v>7.0000000000000007E-2</v>
      </c>
      <c r="K5" s="38" t="s">
        <v>342</v>
      </c>
      <c r="L5" s="31" t="str">
        <f>IF(sales[[#This Row],[Target]]&gt;25000,"MET TARGET","BELOW TARGET")</f>
        <v>BELOW TARGET</v>
      </c>
      <c r="M5" s="31" t="str">
        <f>IF(sales[[#This Row],[Units_Sold]]&gt;100,"500","0")</f>
        <v>0</v>
      </c>
      <c r="N5" s="32" t="str">
        <f>RIGHT(sales[[#This Row],[Emp_ID]],4)</f>
        <v>1004</v>
      </c>
      <c r="O5" s="45" t="str">
        <f>UPPER(sales[[#This Row],[Department]])</f>
        <v>CLOTHING</v>
      </c>
      <c r="P5" s="45" t="str">
        <f>LOWER(sales[[#This Row],[Department]])&amp;"@company.com"</f>
        <v>clothing@company.com</v>
      </c>
      <c r="Q5" s="13"/>
    </row>
    <row r="6" spans="1:17" ht="15" thickBot="1" x14ac:dyDescent="0.35">
      <c r="A6" s="15" t="s">
        <v>60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44</v>
      </c>
      <c r="G6" s="7">
        <v>115.5</v>
      </c>
      <c r="H6" s="10">
        <f t="shared" si="0"/>
        <v>5082</v>
      </c>
      <c r="I6" s="10">
        <v>23059</v>
      </c>
      <c r="J6" s="16">
        <v>0.05</v>
      </c>
      <c r="K6" s="30">
        <f>MAX(sales[Total_Sales])</f>
        <v>86485.8</v>
      </c>
      <c r="L6" s="31" t="str">
        <f>IF(sales[[#This Row],[Target]]&gt;25000,"MET TARGET","BELOW TARGET")</f>
        <v>BELOW TARGET</v>
      </c>
      <c r="M6" s="31" t="str">
        <f>IF(sales[[#This Row],[Units_Sold]]&gt;100,"500","0")</f>
        <v>0</v>
      </c>
      <c r="N6" s="32" t="str">
        <f>RIGHT(sales[[#This Row],[Emp_ID]],4)</f>
        <v>1005</v>
      </c>
      <c r="O6" s="45" t="str">
        <f>UPPER(sales[[#This Row],[Department]])</f>
        <v>SPORTS</v>
      </c>
      <c r="P6" s="45" t="str">
        <f>LOWER(sales[[#This Row],[Department]])&amp;"@company.com"</f>
        <v>sports@company.com</v>
      </c>
      <c r="Q6" s="13"/>
    </row>
    <row r="7" spans="1:17" x14ac:dyDescent="0.3">
      <c r="A7" s="15" t="s">
        <v>51</v>
      </c>
      <c r="B7" s="2" t="s">
        <v>31</v>
      </c>
      <c r="C7" s="2" t="s">
        <v>27</v>
      </c>
      <c r="D7" s="2" t="s">
        <v>13</v>
      </c>
      <c r="E7" s="2" t="s">
        <v>32</v>
      </c>
      <c r="F7" s="2">
        <v>93</v>
      </c>
      <c r="G7" s="8">
        <v>305.83</v>
      </c>
      <c r="H7" s="11">
        <f t="shared" si="0"/>
        <v>28442.19</v>
      </c>
      <c r="I7" s="11">
        <v>3847</v>
      </c>
      <c r="J7" s="17">
        <v>0.1</v>
      </c>
      <c r="K7" s="37" t="s">
        <v>343</v>
      </c>
      <c r="L7" s="31" t="str">
        <f>IF(sales[[#This Row],[Target]]&gt;25000,"MET TARGET","BELOW TARGET")</f>
        <v>BELOW TARGET</v>
      </c>
      <c r="M7" s="31" t="str">
        <f>IF(sales[[#This Row],[Units_Sold]]&gt;100,"500","0")</f>
        <v>0</v>
      </c>
      <c r="N7" s="31" t="str">
        <f>RIGHT(sales[[#This Row],[Emp_ID]],4)</f>
        <v>1006</v>
      </c>
      <c r="O7" s="45" t="str">
        <f>UPPER(sales[[#This Row],[Department]])</f>
        <v>SPORTS</v>
      </c>
      <c r="P7" s="45" t="str">
        <f>LOWER(sales[[#This Row],[Department]])&amp;"@company.com"</f>
        <v>sports@company.com</v>
      </c>
    </row>
    <row r="8" spans="1:17" ht="15" thickBot="1" x14ac:dyDescent="0.35">
      <c r="A8" s="15" t="s">
        <v>21</v>
      </c>
      <c r="B8" s="1" t="s">
        <v>34</v>
      </c>
      <c r="C8" s="1" t="s">
        <v>12</v>
      </c>
      <c r="D8" s="1" t="s">
        <v>24</v>
      </c>
      <c r="E8" s="1" t="s">
        <v>35</v>
      </c>
      <c r="F8" s="1">
        <v>146</v>
      </c>
      <c r="G8" s="7">
        <v>153.66</v>
      </c>
      <c r="H8" s="10">
        <f t="shared" si="0"/>
        <v>22434.36</v>
      </c>
      <c r="I8" s="10">
        <v>42198</v>
      </c>
      <c r="J8" s="16">
        <v>0.12</v>
      </c>
      <c r="K8" s="34">
        <f>COUNT(sales[Units_Sold])</f>
        <v>200</v>
      </c>
      <c r="L8" s="31" t="str">
        <f>IF(sales[[#This Row],[Target]]&gt;25000,"MET TARGET","BELOW TARGET")</f>
        <v>MET TARGET</v>
      </c>
      <c r="M8" s="31" t="str">
        <f>IF(sales[[#This Row],[Units_Sold]]&gt;100,"500","0")</f>
        <v>500</v>
      </c>
      <c r="N8" s="31" t="str">
        <f>RIGHT(sales[[#This Row],[Emp_ID]],4)</f>
        <v>1007</v>
      </c>
      <c r="O8" s="45" t="str">
        <f>UPPER(sales[[#This Row],[Department]])</f>
        <v>ELECTRONICS</v>
      </c>
      <c r="P8" s="45" t="str">
        <f>LOWER(sales[[#This Row],[Department]])&amp;"@company.com"</f>
        <v>electronics@company.com</v>
      </c>
    </row>
    <row r="9" spans="1:17" x14ac:dyDescent="0.3">
      <c r="A9" s="15" t="s">
        <v>56</v>
      </c>
      <c r="B9" s="2" t="s">
        <v>37</v>
      </c>
      <c r="C9" s="2" t="s">
        <v>38</v>
      </c>
      <c r="D9" s="2" t="s">
        <v>19</v>
      </c>
      <c r="E9" s="2" t="s">
        <v>39</v>
      </c>
      <c r="F9" s="2">
        <v>185</v>
      </c>
      <c r="G9" s="8">
        <v>44.08</v>
      </c>
      <c r="H9" s="11">
        <f t="shared" si="0"/>
        <v>8154.7999999999993</v>
      </c>
      <c r="I9" s="11">
        <v>44336</v>
      </c>
      <c r="J9" s="17">
        <v>7.0000000000000007E-2</v>
      </c>
      <c r="K9" s="39" t="s">
        <v>344</v>
      </c>
      <c r="L9" s="31" t="str">
        <f>IF(sales[[#This Row],[Target]]&gt;25000,"MET TARGET","BELOW TARGET")</f>
        <v>MET TARGET</v>
      </c>
      <c r="M9" s="31" t="str">
        <f>IF(sales[[#This Row],[Units_Sold]]&gt;100,"500","0")</f>
        <v>500</v>
      </c>
      <c r="N9" s="31" t="str">
        <f>RIGHT(sales[[#This Row],[Emp_ID]],4)</f>
        <v>1008</v>
      </c>
      <c r="O9" s="45" t="str">
        <f>UPPER(sales[[#This Row],[Department]])</f>
        <v>FURNITURE</v>
      </c>
      <c r="P9" s="45" t="str">
        <f>LOWER(sales[[#This Row],[Department]])&amp;"@company.com"</f>
        <v>furniture@company.com</v>
      </c>
    </row>
    <row r="10" spans="1:17" ht="15" thickBot="1" x14ac:dyDescent="0.35">
      <c r="A10" s="15" t="s">
        <v>33</v>
      </c>
      <c r="B10" s="1" t="s">
        <v>41</v>
      </c>
      <c r="C10" s="1" t="s">
        <v>38</v>
      </c>
      <c r="D10" s="1" t="s">
        <v>13</v>
      </c>
      <c r="E10" s="1" t="s">
        <v>39</v>
      </c>
      <c r="F10" s="1">
        <v>30</v>
      </c>
      <c r="G10" s="7">
        <v>196.26</v>
      </c>
      <c r="H10" s="10">
        <f t="shared" si="0"/>
        <v>5887.7999999999993</v>
      </c>
      <c r="I10" s="10">
        <v>30714</v>
      </c>
      <c r="J10" s="16">
        <v>0.08</v>
      </c>
      <c r="K10" s="35">
        <f>COUNT(sales[Commission_Rate])</f>
        <v>200</v>
      </c>
      <c r="L10" s="31" t="str">
        <f>IF(sales[[#This Row],[Target]]&gt;25000,"MET TARGET","BELOW TARGET")</f>
        <v>MET TARGET</v>
      </c>
      <c r="M10" s="31" t="str">
        <f>IF(sales[[#This Row],[Units_Sold]]&gt;100,"500","0")</f>
        <v>0</v>
      </c>
      <c r="N10" s="31" t="str">
        <f>RIGHT(sales[[#This Row],[Emp_ID]],4)</f>
        <v>1009</v>
      </c>
      <c r="O10" s="45" t="str">
        <f>UPPER(sales[[#This Row],[Department]])</f>
        <v>FURNITURE</v>
      </c>
      <c r="P10" s="45" t="str">
        <f>LOWER(sales[[#This Row],[Department]])&amp;"@company.com"</f>
        <v>furniture@company.com</v>
      </c>
    </row>
    <row r="11" spans="1:17" x14ac:dyDescent="0.3">
      <c r="A11" s="15" t="s">
        <v>44</v>
      </c>
      <c r="B11" s="2" t="s">
        <v>43</v>
      </c>
      <c r="C11" s="2" t="s">
        <v>38</v>
      </c>
      <c r="D11" s="2" t="s">
        <v>28</v>
      </c>
      <c r="E11" s="2" t="s">
        <v>39</v>
      </c>
      <c r="F11" s="2">
        <v>176</v>
      </c>
      <c r="G11" s="8">
        <v>140.82</v>
      </c>
      <c r="H11" s="11">
        <f t="shared" si="0"/>
        <v>24784.32</v>
      </c>
      <c r="I11" s="11">
        <v>45796</v>
      </c>
      <c r="J11" s="17">
        <v>0.05</v>
      </c>
      <c r="K11" s="37" t="s">
        <v>345</v>
      </c>
      <c r="L11" s="31" t="str">
        <f>IF(sales[[#This Row],[Target]]&gt;25000,"MET TARGET","BELOW TARGET")</f>
        <v>MET TARGET</v>
      </c>
      <c r="M11" s="31" t="str">
        <f>IF(sales[[#This Row],[Units_Sold]]&gt;100,"500","0")</f>
        <v>500</v>
      </c>
      <c r="N11" s="31" t="str">
        <f>RIGHT(sales[[#This Row],[Emp_ID]],4)</f>
        <v>1010</v>
      </c>
      <c r="O11" s="45" t="str">
        <f>UPPER(sales[[#This Row],[Department]])</f>
        <v>FURNITURE</v>
      </c>
      <c r="P11" s="45" t="str">
        <f>LOWER(sales[[#This Row],[Department]])&amp;"@company.com"</f>
        <v>furniture@company.com</v>
      </c>
    </row>
    <row r="12" spans="1:17" ht="15" thickBot="1" x14ac:dyDescent="0.35">
      <c r="A12" s="15" t="s">
        <v>10</v>
      </c>
      <c r="B12" s="1" t="s">
        <v>45</v>
      </c>
      <c r="C12" s="1" t="s">
        <v>23</v>
      </c>
      <c r="D12" s="1" t="s">
        <v>19</v>
      </c>
      <c r="E12" s="1" t="s">
        <v>14</v>
      </c>
      <c r="F12" s="1">
        <v>67</v>
      </c>
      <c r="G12" s="7">
        <v>90.07</v>
      </c>
      <c r="H12" s="10">
        <f t="shared" si="0"/>
        <v>6034.69</v>
      </c>
      <c r="I12" s="10">
        <v>25867</v>
      </c>
      <c r="J12" s="16">
        <v>0.08</v>
      </c>
      <c r="K12" s="36">
        <f>AVERAGE(sales[Units_Sold])</f>
        <v>104.455</v>
      </c>
      <c r="L12" s="31" t="str">
        <f>IF(sales[[#This Row],[Target]]&gt;25000,"MET TARGET","BELOW TARGET")</f>
        <v>MET TARGET</v>
      </c>
      <c r="M12" s="31" t="str">
        <f>IF(sales[[#This Row],[Units_Sold]]&gt;100,"500","0")</f>
        <v>0</v>
      </c>
      <c r="N12" s="31" t="str">
        <f>RIGHT(sales[[#This Row],[Emp_ID]],4)</f>
        <v>1011</v>
      </c>
      <c r="O12" s="45" t="str">
        <f>UPPER(sales[[#This Row],[Department]])</f>
        <v>CLOTHING</v>
      </c>
      <c r="P12" s="45" t="str">
        <f>LOWER(sales[[#This Row],[Department]])&amp;"@company.com"</f>
        <v>clothing@company.com</v>
      </c>
    </row>
    <row r="13" spans="1:17" x14ac:dyDescent="0.3">
      <c r="A13" s="15" t="s">
        <v>25</v>
      </c>
      <c r="B13" s="2" t="s">
        <v>37</v>
      </c>
      <c r="C13" s="2" t="s">
        <v>15</v>
      </c>
      <c r="D13" s="2" t="s">
        <v>46</v>
      </c>
      <c r="E13" s="2" t="s">
        <v>47</v>
      </c>
      <c r="F13" s="2">
        <v>88</v>
      </c>
      <c r="G13" s="8">
        <v>423</v>
      </c>
      <c r="H13" s="11">
        <f t="shared" si="0"/>
        <v>37224</v>
      </c>
      <c r="I13" s="11">
        <v>4665</v>
      </c>
      <c r="J13" s="17">
        <v>7.0000000000000007E-2</v>
      </c>
      <c r="K13" s="37" t="s">
        <v>346</v>
      </c>
      <c r="L13" s="31" t="str">
        <f>IF(sales[[#This Row],[Target]]&gt;25000,"MET TARGET","BELOW TARGET")</f>
        <v>BELOW TARGET</v>
      </c>
      <c r="M13" s="31" t="str">
        <f>IF(sales[[#This Row],[Units_Sold]]&gt;100,"500","0")</f>
        <v>0</v>
      </c>
      <c r="N13" s="31" t="str">
        <f>RIGHT(sales[[#This Row],[Emp_ID]],4)</f>
        <v>1012</v>
      </c>
      <c r="O13" s="45" t="str">
        <f>UPPER(sales[[#This Row],[Department]])</f>
        <v>GROCERY</v>
      </c>
      <c r="P13" s="45" t="str">
        <f>LOWER(sales[[#This Row],[Department]])&amp;"@company.com"</f>
        <v>grocery@company.com</v>
      </c>
    </row>
    <row r="14" spans="1:17" ht="15" thickBot="1" x14ac:dyDescent="0.35">
      <c r="A14" s="15" t="s">
        <v>40</v>
      </c>
      <c r="B14" s="1" t="s">
        <v>49</v>
      </c>
      <c r="C14" s="1" t="s">
        <v>12</v>
      </c>
      <c r="D14" s="1" t="s">
        <v>28</v>
      </c>
      <c r="E14" s="1" t="s">
        <v>50</v>
      </c>
      <c r="F14" s="1">
        <v>73</v>
      </c>
      <c r="G14" s="7">
        <v>42.43</v>
      </c>
      <c r="H14" s="10">
        <f t="shared" si="0"/>
        <v>3097.39</v>
      </c>
      <c r="I14" s="10">
        <v>38170</v>
      </c>
      <c r="J14" s="16">
        <v>0.08</v>
      </c>
      <c r="K14" s="36">
        <f>AVERAGE(sales[Unit_Price])</f>
        <v>251.30414999999994</v>
      </c>
      <c r="L14" s="31" t="str">
        <f>IF(sales[[#This Row],[Target]]&gt;25000,"MET TARGET","BELOW TARGET")</f>
        <v>MET TARGET</v>
      </c>
      <c r="M14" s="31" t="str">
        <f>IF(sales[[#This Row],[Units_Sold]]&gt;100,"500","0")</f>
        <v>0</v>
      </c>
      <c r="N14" s="31" t="str">
        <f>RIGHT(sales[[#This Row],[Emp_ID]],4)</f>
        <v>1013</v>
      </c>
      <c r="O14" s="45" t="str">
        <f>UPPER(sales[[#This Row],[Department]])</f>
        <v>ELECTRONICS</v>
      </c>
      <c r="P14" s="45" t="str">
        <f>LOWER(sales[[#This Row],[Department]])&amp;"@company.com"</f>
        <v>electronics@company.com</v>
      </c>
    </row>
    <row r="15" spans="1:17" x14ac:dyDescent="0.3">
      <c r="A15" s="15" t="s">
        <v>48</v>
      </c>
      <c r="B15" s="2" t="s">
        <v>18</v>
      </c>
      <c r="C15" s="2" t="s">
        <v>27</v>
      </c>
      <c r="D15" s="2" t="s">
        <v>24</v>
      </c>
      <c r="E15" s="2" t="s">
        <v>47</v>
      </c>
      <c r="F15" s="2">
        <v>122</v>
      </c>
      <c r="G15" s="8">
        <v>80.010000000000005</v>
      </c>
      <c r="H15" s="11">
        <f t="shared" si="0"/>
        <v>9761.2200000000012</v>
      </c>
      <c r="I15" s="11">
        <v>10150</v>
      </c>
      <c r="J15" s="17">
        <v>7.0000000000000007E-2</v>
      </c>
      <c r="K15" s="37" t="s">
        <v>347</v>
      </c>
      <c r="L15" s="31" t="str">
        <f>IF(sales[[#This Row],[Target]]&gt;25000,"MET TARGET","BELOW TARGET")</f>
        <v>BELOW TARGET</v>
      </c>
      <c r="M15" s="31" t="str">
        <f>IF(sales[[#This Row],[Units_Sold]]&gt;100,"500","0")</f>
        <v>500</v>
      </c>
      <c r="N15" s="31" t="str">
        <f>RIGHT(sales[[#This Row],[Emp_ID]],4)</f>
        <v>1014</v>
      </c>
      <c r="O15" s="45" t="str">
        <f>UPPER(sales[[#This Row],[Department]])</f>
        <v>SPORTS</v>
      </c>
      <c r="P15" s="45" t="str">
        <f>LOWER(sales[[#This Row],[Department]])&amp;"@company.com"</f>
        <v>sports@company.com</v>
      </c>
    </row>
    <row r="16" spans="1:17" ht="15" thickBot="1" x14ac:dyDescent="0.35">
      <c r="A16" s="15" t="s">
        <v>36</v>
      </c>
      <c r="B16" s="1" t="s">
        <v>26</v>
      </c>
      <c r="C16" s="1" t="s">
        <v>15</v>
      </c>
      <c r="D16" s="1" t="s">
        <v>19</v>
      </c>
      <c r="E16" s="1" t="s">
        <v>29</v>
      </c>
      <c r="F16" s="1">
        <v>196</v>
      </c>
      <c r="G16" s="7">
        <v>296.45</v>
      </c>
      <c r="H16" s="10">
        <f t="shared" si="0"/>
        <v>58104.2</v>
      </c>
      <c r="I16" s="10">
        <v>39242</v>
      </c>
      <c r="J16" s="16">
        <v>0.1</v>
      </c>
      <c r="K16" s="36">
        <f ca="1">AVERAGEIF(sales[Region],"North",sales[[#This Row],[Total_Sales]])</f>
        <v>24479.410526315787</v>
      </c>
      <c r="L16" s="31" t="str">
        <f>IF(sales[[#This Row],[Target]]&gt;25000,"MET TARGET","BELOW TARGET")</f>
        <v>MET TARGET</v>
      </c>
      <c r="M16" s="31" t="str">
        <f>IF(sales[[#This Row],[Units_Sold]]&gt;100,"500","0")</f>
        <v>500</v>
      </c>
      <c r="N16" s="31" t="str">
        <f>RIGHT(sales[[#This Row],[Emp_ID]],4)</f>
        <v>1015</v>
      </c>
      <c r="O16" s="45" t="str">
        <f>UPPER(sales[[#This Row],[Department]])</f>
        <v>GROCERY</v>
      </c>
      <c r="P16" s="45" t="str">
        <f>LOWER(sales[[#This Row],[Department]])&amp;"@company.com"</f>
        <v>grocery@company.com</v>
      </c>
    </row>
    <row r="17" spans="1:16" x14ac:dyDescent="0.3">
      <c r="A17" s="15" t="s">
        <v>155</v>
      </c>
      <c r="B17" s="2" t="s">
        <v>52</v>
      </c>
      <c r="C17" s="2" t="s">
        <v>23</v>
      </c>
      <c r="D17" s="2" t="s">
        <v>46</v>
      </c>
      <c r="E17" s="2" t="s">
        <v>53</v>
      </c>
      <c r="F17" s="2">
        <v>131</v>
      </c>
      <c r="G17" s="8">
        <v>54.55</v>
      </c>
      <c r="H17" s="11">
        <f t="shared" si="0"/>
        <v>7146.0499999999993</v>
      </c>
      <c r="I17" s="11">
        <v>4087</v>
      </c>
      <c r="J17" s="17">
        <v>0.05</v>
      </c>
      <c r="K17" s="37" t="s">
        <v>348</v>
      </c>
      <c r="L17" s="31" t="str">
        <f>IF(sales[[#This Row],[Target]]&gt;25000,"MET TARGET","BELOW TARGET")</f>
        <v>BELOW TARGET</v>
      </c>
      <c r="M17" s="31" t="str">
        <f>IF(sales[[#This Row],[Units_Sold]]&gt;100,"500","0")</f>
        <v>500</v>
      </c>
      <c r="N17" s="31" t="str">
        <f>RIGHT(sales[[#This Row],[Emp_ID]],4)</f>
        <v>1016</v>
      </c>
      <c r="O17" s="45" t="str">
        <f>UPPER(sales[[#This Row],[Department]])</f>
        <v>CLOTHING</v>
      </c>
      <c r="P17" s="45" t="str">
        <f>LOWER(sales[[#This Row],[Department]])&amp;"@company.com"</f>
        <v>clothing@company.com</v>
      </c>
    </row>
    <row r="18" spans="1:16" ht="15" thickBot="1" x14ac:dyDescent="0.35">
      <c r="A18" s="15" t="s">
        <v>156</v>
      </c>
      <c r="B18" s="1" t="s">
        <v>43</v>
      </c>
      <c r="C18" s="1" t="s">
        <v>23</v>
      </c>
      <c r="D18" s="1" t="s">
        <v>24</v>
      </c>
      <c r="E18" s="1" t="s">
        <v>16</v>
      </c>
      <c r="F18" s="1">
        <v>21</v>
      </c>
      <c r="G18" s="7">
        <v>198.54</v>
      </c>
      <c r="H18" s="10">
        <f t="shared" si="0"/>
        <v>4169.34</v>
      </c>
      <c r="I18" s="10">
        <v>40052</v>
      </c>
      <c r="J18" s="16">
        <v>0.1</v>
      </c>
      <c r="K18" s="36">
        <f ca="1">AVERAGEIF(sales[Department],"Electronics",sales[[#This Row],[Units_Sold]])</f>
        <v>116.03333333333333</v>
      </c>
      <c r="L18" s="31" t="str">
        <f>IF(sales[[#This Row],[Target]]&gt;25000,"MET TARGET","BELOW TARGET")</f>
        <v>MET TARGET</v>
      </c>
      <c r="M18" s="31" t="str">
        <f>IF(sales[[#This Row],[Units_Sold]]&gt;100,"500","0")</f>
        <v>0</v>
      </c>
      <c r="N18" s="31" t="str">
        <f>RIGHT(sales[[#This Row],[Emp_ID]],4)</f>
        <v>1017</v>
      </c>
      <c r="O18" s="45" t="str">
        <f>UPPER(sales[[#This Row],[Department]])</f>
        <v>CLOTHING</v>
      </c>
      <c r="P18" s="45" t="str">
        <f>LOWER(sales[[#This Row],[Department]])&amp;"@company.com"</f>
        <v>clothing@company.com</v>
      </c>
    </row>
    <row r="19" spans="1:16" x14ac:dyDescent="0.3">
      <c r="A19" s="15" t="s">
        <v>157</v>
      </c>
      <c r="B19" s="2" t="s">
        <v>34</v>
      </c>
      <c r="C19" s="2" t="s">
        <v>38</v>
      </c>
      <c r="D19" s="2" t="s">
        <v>19</v>
      </c>
      <c r="E19" s="2" t="s">
        <v>20</v>
      </c>
      <c r="F19" s="2">
        <v>179</v>
      </c>
      <c r="G19" s="8">
        <v>363.15</v>
      </c>
      <c r="H19" s="11">
        <f t="shared" si="0"/>
        <v>65003.85</v>
      </c>
      <c r="I19" s="11">
        <v>45676</v>
      </c>
      <c r="J19" s="17">
        <v>0.12</v>
      </c>
      <c r="K19" s="37" t="s">
        <v>349</v>
      </c>
      <c r="L19" s="31" t="str">
        <f>IF(sales[[#This Row],[Target]]&gt;25000,"MET TARGET","BELOW TARGET")</f>
        <v>MET TARGET</v>
      </c>
      <c r="M19" s="31" t="str">
        <f>IF(sales[[#This Row],[Units_Sold]]&gt;100,"500","0")</f>
        <v>500</v>
      </c>
      <c r="N19" s="31" t="str">
        <f>RIGHT(sales[[#This Row],[Emp_ID]],4)</f>
        <v>1018</v>
      </c>
      <c r="O19" s="45" t="str">
        <f>UPPER(sales[[#This Row],[Department]])</f>
        <v>FURNITURE</v>
      </c>
      <c r="P19" s="45" t="str">
        <f>LOWER(sales[[#This Row],[Department]])&amp;"@company.com"</f>
        <v>furniture@company.com</v>
      </c>
    </row>
    <row r="20" spans="1:16" ht="15" thickBot="1" x14ac:dyDescent="0.35">
      <c r="A20" s="15" t="s">
        <v>158</v>
      </c>
      <c r="B20" s="1" t="s">
        <v>41</v>
      </c>
      <c r="C20" s="1" t="s">
        <v>38</v>
      </c>
      <c r="D20" s="1" t="s">
        <v>28</v>
      </c>
      <c r="E20" s="1" t="s">
        <v>35</v>
      </c>
      <c r="F20" s="1">
        <v>80</v>
      </c>
      <c r="G20" s="7">
        <v>223.03</v>
      </c>
      <c r="H20" s="10">
        <f t="shared" si="0"/>
        <v>17842.400000000001</v>
      </c>
      <c r="I20" s="10">
        <v>30735</v>
      </c>
      <c r="J20" s="16">
        <v>0.05</v>
      </c>
      <c r="K20" s="36">
        <f>AVERAGEIFS(sales[Total_Sales],sales[Department],"Electronics",sales[Region],"north")</f>
        <v>10213.336666666668</v>
      </c>
      <c r="L20" s="31" t="str">
        <f>IF(sales[[#This Row],[Target]]&gt;25000,"MET TARGET","BELOW TARGET")</f>
        <v>MET TARGET</v>
      </c>
      <c r="M20" s="31" t="str">
        <f>IF(sales[[#This Row],[Units_Sold]]&gt;100,"500","0")</f>
        <v>0</v>
      </c>
      <c r="N20" s="31" t="str">
        <f>RIGHT(sales[[#This Row],[Emp_ID]],4)</f>
        <v>1019</v>
      </c>
      <c r="O20" s="45" t="str">
        <f>UPPER(sales[[#This Row],[Department]])</f>
        <v>FURNITURE</v>
      </c>
      <c r="P20" s="45" t="str">
        <f>LOWER(sales[[#This Row],[Department]])&amp;"@company.com"</f>
        <v>furniture@company.com</v>
      </c>
    </row>
    <row r="21" spans="1:16" x14ac:dyDescent="0.3">
      <c r="A21" s="15" t="s">
        <v>159</v>
      </c>
      <c r="B21" s="2" t="s">
        <v>26</v>
      </c>
      <c r="C21" s="2" t="s">
        <v>38</v>
      </c>
      <c r="D21" s="2" t="s">
        <v>19</v>
      </c>
      <c r="E21" s="2" t="s">
        <v>54</v>
      </c>
      <c r="F21" s="2">
        <v>134</v>
      </c>
      <c r="G21" s="8">
        <v>457.19</v>
      </c>
      <c r="H21" s="11">
        <f t="shared" si="0"/>
        <v>61263.46</v>
      </c>
      <c r="I21" s="11">
        <v>41979</v>
      </c>
      <c r="J21" s="17">
        <v>0.08</v>
      </c>
      <c r="K21" s="37" t="s">
        <v>350</v>
      </c>
      <c r="L21" s="31" t="str">
        <f>IF(sales[[#This Row],[Target]]&gt;25000,"MET TARGET","BELOW TARGET")</f>
        <v>MET TARGET</v>
      </c>
      <c r="M21" s="31" t="str">
        <f>IF(sales[[#This Row],[Units_Sold]]&gt;100,"500","0")</f>
        <v>500</v>
      </c>
      <c r="N21" s="31" t="str">
        <f>RIGHT(sales[[#This Row],[Emp_ID]],4)</f>
        <v>1020</v>
      </c>
      <c r="O21" s="45" t="str">
        <f>UPPER(sales[[#This Row],[Department]])</f>
        <v>FURNITURE</v>
      </c>
      <c r="P21" s="45" t="str">
        <f>LOWER(sales[[#This Row],[Department]])&amp;"@company.com"</f>
        <v>furniture@company.com</v>
      </c>
    </row>
    <row r="22" spans="1:16" ht="15" thickBot="1" x14ac:dyDescent="0.35">
      <c r="A22" s="15" t="s">
        <v>160</v>
      </c>
      <c r="B22" s="1" t="s">
        <v>49</v>
      </c>
      <c r="C22" s="1" t="s">
        <v>15</v>
      </c>
      <c r="D22" s="1" t="s">
        <v>19</v>
      </c>
      <c r="E22" s="1" t="s">
        <v>39</v>
      </c>
      <c r="F22" s="1">
        <v>44</v>
      </c>
      <c r="G22" s="7">
        <v>193.22</v>
      </c>
      <c r="H22" s="10">
        <f t="shared" si="0"/>
        <v>8501.68</v>
      </c>
      <c r="I22" s="10">
        <v>11587</v>
      </c>
      <c r="J22" s="16">
        <v>0.12</v>
      </c>
      <c r="K22" s="36">
        <f>AVERAGEIFS(sales[Commission_Rate],sales[Department],"Furniture",sales[Region],"South")</f>
        <v>8.3333333333333329E-2</v>
      </c>
      <c r="L22" s="31" t="str">
        <f>IF(sales[[#This Row],[Target]]&gt;25000,"MET TARGET","BELOW TARGET")</f>
        <v>BELOW TARGET</v>
      </c>
      <c r="M22" s="31" t="str">
        <f>IF(sales[[#This Row],[Units_Sold]]&gt;100,"500","0")</f>
        <v>0</v>
      </c>
      <c r="N22" s="31" t="str">
        <f>RIGHT(sales[[#This Row],[Emp_ID]],4)</f>
        <v>1021</v>
      </c>
      <c r="O22" s="45" t="str">
        <f>UPPER(sales[[#This Row],[Department]])</f>
        <v>GROCERY</v>
      </c>
      <c r="P22" s="45" t="str">
        <f>LOWER(sales[[#This Row],[Department]])&amp;"@company.com"</f>
        <v>grocery@company.com</v>
      </c>
    </row>
    <row r="23" spans="1:16" ht="15" thickBot="1" x14ac:dyDescent="0.35">
      <c r="A23" s="15" t="s">
        <v>161</v>
      </c>
      <c r="B23" s="2" t="s">
        <v>41</v>
      </c>
      <c r="C23" s="2" t="s">
        <v>15</v>
      </c>
      <c r="D23" s="2" t="s">
        <v>13</v>
      </c>
      <c r="E23" s="2" t="s">
        <v>16</v>
      </c>
      <c r="F23" s="2">
        <v>87</v>
      </c>
      <c r="G23" s="8">
        <v>249.42</v>
      </c>
      <c r="H23" s="11">
        <f t="shared" si="0"/>
        <v>21699.539999999997</v>
      </c>
      <c r="I23" s="11">
        <v>8331</v>
      </c>
      <c r="J23" s="17">
        <v>0.08</v>
      </c>
      <c r="K23" s="43" t="s">
        <v>353</v>
      </c>
      <c r="L23" s="31" t="str">
        <f>IF(sales[[#This Row],[Target]]&gt;25000,"MET TARGET","BELOW TARGET")</f>
        <v>BELOW TARGET</v>
      </c>
      <c r="M23" s="31" t="str">
        <f>IF(sales[[#This Row],[Units_Sold]]&gt;100,"500","0")</f>
        <v>0</v>
      </c>
      <c r="N23" s="31" t="str">
        <f>RIGHT(sales[[#This Row],[Emp_ID]],4)</f>
        <v>1022</v>
      </c>
      <c r="O23" s="45" t="str">
        <f>UPPER(sales[[#This Row],[Department]])</f>
        <v>GROCERY</v>
      </c>
      <c r="P23" s="45" t="str">
        <f>LOWER(sales[[#This Row],[Department]])&amp;"@company.com"</f>
        <v>grocery@company.com</v>
      </c>
    </row>
    <row r="24" spans="1:16" ht="15" thickBot="1" x14ac:dyDescent="0.35">
      <c r="A24" s="15" t="s">
        <v>162</v>
      </c>
      <c r="B24" s="1" t="s">
        <v>37</v>
      </c>
      <c r="C24" s="1" t="s">
        <v>38</v>
      </c>
      <c r="D24" s="1" t="s">
        <v>46</v>
      </c>
      <c r="E24" s="1" t="s">
        <v>20</v>
      </c>
      <c r="F24" s="1">
        <v>66</v>
      </c>
      <c r="G24" s="7">
        <v>440.22</v>
      </c>
      <c r="H24" s="10">
        <f t="shared" si="0"/>
        <v>29054.52</v>
      </c>
      <c r="I24" s="10">
        <v>6161</v>
      </c>
      <c r="J24" s="16">
        <v>0.05</v>
      </c>
      <c r="K24" s="44">
        <f>SUMIF(sales[Region],"East",sales[Total_Sales])</f>
        <v>1134786.8900000004</v>
      </c>
      <c r="L24" s="31" t="str">
        <f>IF(sales[[#This Row],[Target]]&gt;25000,"MET TARGET","BELOW TARGET")</f>
        <v>BELOW TARGET</v>
      </c>
      <c r="M24" s="31" t="str">
        <f>IF(sales[[#This Row],[Units_Sold]]&gt;100,"500","0")</f>
        <v>0</v>
      </c>
      <c r="N24" s="31" t="str">
        <f>RIGHT(sales[[#This Row],[Emp_ID]],4)</f>
        <v>1023</v>
      </c>
      <c r="O24" s="45" t="str">
        <f>UPPER(sales[[#This Row],[Department]])</f>
        <v>FURNITURE</v>
      </c>
      <c r="P24" s="45" t="str">
        <f>LOWER(sales[[#This Row],[Department]])&amp;"@company.com"</f>
        <v>furniture@company.com</v>
      </c>
    </row>
    <row r="25" spans="1:16" x14ac:dyDescent="0.3">
      <c r="A25" s="15" t="s">
        <v>163</v>
      </c>
      <c r="B25" s="2" t="s">
        <v>26</v>
      </c>
      <c r="C25" s="2" t="s">
        <v>27</v>
      </c>
      <c r="D25" s="2" t="s">
        <v>13</v>
      </c>
      <c r="E25" s="2" t="s">
        <v>53</v>
      </c>
      <c r="F25" s="2">
        <v>37</v>
      </c>
      <c r="G25" s="8">
        <v>72.91</v>
      </c>
      <c r="H25" s="11">
        <f t="shared" si="0"/>
        <v>2697.67</v>
      </c>
      <c r="I25" s="11">
        <v>32148</v>
      </c>
      <c r="J25" s="17">
        <v>0.12</v>
      </c>
      <c r="K25" s="37" t="s">
        <v>354</v>
      </c>
      <c r="L25" s="31" t="str">
        <f>IF(sales[[#This Row],[Target]]&gt;25000,"MET TARGET","BELOW TARGET")</f>
        <v>MET TARGET</v>
      </c>
      <c r="M25" s="31" t="str">
        <f>IF(sales[[#This Row],[Units_Sold]]&gt;100,"500","0")</f>
        <v>0</v>
      </c>
      <c r="N25" s="31" t="str">
        <f>RIGHT(sales[[#This Row],[Emp_ID]],4)</f>
        <v>1024</v>
      </c>
      <c r="O25" s="45" t="str">
        <f>UPPER(sales[[#This Row],[Department]])</f>
        <v>SPORTS</v>
      </c>
      <c r="P25" s="45" t="str">
        <f>LOWER(sales[[#This Row],[Department]])&amp;"@company.com"</f>
        <v>sports@company.com</v>
      </c>
    </row>
    <row r="26" spans="1:16" ht="15" thickBot="1" x14ac:dyDescent="0.35">
      <c r="A26" s="15" t="s">
        <v>164</v>
      </c>
      <c r="B26" s="1" t="s">
        <v>43</v>
      </c>
      <c r="C26" s="1" t="s">
        <v>38</v>
      </c>
      <c r="D26" s="1" t="s">
        <v>19</v>
      </c>
      <c r="E26" s="1" t="s">
        <v>16</v>
      </c>
      <c r="F26" s="1">
        <v>113</v>
      </c>
      <c r="G26" s="7">
        <v>482.54</v>
      </c>
      <c r="H26" s="10">
        <f t="shared" si="0"/>
        <v>54527.020000000004</v>
      </c>
      <c r="I26" s="10">
        <v>36343</v>
      </c>
      <c r="J26" s="16">
        <v>7.0000000000000007E-2</v>
      </c>
      <c r="K26" s="36">
        <f>SUMIF(sales[Department],"Sports",sales[Total_Sales])</f>
        <v>1058565.31</v>
      </c>
      <c r="L26" s="31" t="str">
        <f>IF(sales[[#This Row],[Target]]&gt;25000,"MET TARGET","BELOW TARGET")</f>
        <v>MET TARGET</v>
      </c>
      <c r="M26" s="31" t="str">
        <f>IF(sales[[#This Row],[Units_Sold]]&gt;100,"500","0")</f>
        <v>500</v>
      </c>
      <c r="N26" s="31" t="str">
        <f>RIGHT(sales[[#This Row],[Emp_ID]],4)</f>
        <v>1025</v>
      </c>
      <c r="O26" s="45" t="str">
        <f>UPPER(sales[[#This Row],[Department]])</f>
        <v>FURNITURE</v>
      </c>
      <c r="P26" s="45" t="str">
        <f>LOWER(sales[[#This Row],[Department]])&amp;"@company.com"</f>
        <v>furniture@company.com</v>
      </c>
    </row>
    <row r="27" spans="1:16" x14ac:dyDescent="0.3">
      <c r="A27" s="15" t="s">
        <v>165</v>
      </c>
      <c r="B27" s="2" t="s">
        <v>26</v>
      </c>
      <c r="C27" s="2" t="s">
        <v>38</v>
      </c>
      <c r="D27" s="2" t="s">
        <v>24</v>
      </c>
      <c r="E27" s="2" t="s">
        <v>47</v>
      </c>
      <c r="F27" s="2">
        <v>171</v>
      </c>
      <c r="G27" s="8">
        <v>192.98</v>
      </c>
      <c r="H27" s="11">
        <f t="shared" si="0"/>
        <v>32999.58</v>
      </c>
      <c r="I27" s="11">
        <v>34919</v>
      </c>
      <c r="J27" s="17">
        <v>0.1</v>
      </c>
      <c r="K27" s="37" t="s">
        <v>355</v>
      </c>
      <c r="L27" s="31" t="str">
        <f>IF(sales[[#This Row],[Target]]&gt;25000,"MET TARGET","BELOW TARGET")</f>
        <v>MET TARGET</v>
      </c>
      <c r="M27" s="31" t="str">
        <f>IF(sales[[#This Row],[Units_Sold]]&gt;100,"500","0")</f>
        <v>500</v>
      </c>
      <c r="N27" s="31" t="str">
        <f>RIGHT(sales[[#This Row],[Emp_ID]],4)</f>
        <v>1026</v>
      </c>
      <c r="O27" s="45" t="str">
        <f>UPPER(sales[[#This Row],[Department]])</f>
        <v>FURNITURE</v>
      </c>
      <c r="P27" s="45" t="str">
        <f>LOWER(sales[[#This Row],[Department]])&amp;"@company.com"</f>
        <v>furniture@company.com</v>
      </c>
    </row>
    <row r="28" spans="1:16" ht="15" thickBot="1" x14ac:dyDescent="0.35">
      <c r="A28" s="15" t="s">
        <v>166</v>
      </c>
      <c r="B28" s="1" t="s">
        <v>31</v>
      </c>
      <c r="C28" s="1" t="s">
        <v>23</v>
      </c>
      <c r="D28" s="1" t="s">
        <v>46</v>
      </c>
      <c r="E28" s="1" t="s">
        <v>35</v>
      </c>
      <c r="F28" s="1">
        <v>91</v>
      </c>
      <c r="G28" s="7">
        <v>20.309999999999999</v>
      </c>
      <c r="H28" s="10">
        <f t="shared" si="0"/>
        <v>1848.2099999999998</v>
      </c>
      <c r="I28" s="10">
        <v>37301</v>
      </c>
      <c r="J28" s="16">
        <v>7.0000000000000007E-2</v>
      </c>
      <c r="K28" s="36">
        <f>COUNTIF(sales[Region],"West")</f>
        <v>42</v>
      </c>
      <c r="L28" s="31" t="str">
        <f>IF(sales[[#This Row],[Target]]&gt;25000,"MET TARGET","BELOW TARGET")</f>
        <v>MET TARGET</v>
      </c>
      <c r="M28" s="31" t="str">
        <f>IF(sales[[#This Row],[Units_Sold]]&gt;100,"500","0")</f>
        <v>0</v>
      </c>
      <c r="N28" s="31" t="str">
        <f>RIGHT(sales[[#This Row],[Emp_ID]],4)</f>
        <v>1027</v>
      </c>
      <c r="O28" s="45" t="str">
        <f>UPPER(sales[[#This Row],[Department]])</f>
        <v>CLOTHING</v>
      </c>
      <c r="P28" s="45" t="str">
        <f>LOWER(sales[[#This Row],[Department]])&amp;"@company.com"</f>
        <v>clothing@company.com</v>
      </c>
    </row>
    <row r="29" spans="1:16" x14ac:dyDescent="0.3">
      <c r="A29" s="15" t="s">
        <v>167</v>
      </c>
      <c r="B29" s="2" t="s">
        <v>45</v>
      </c>
      <c r="C29" s="2" t="s">
        <v>23</v>
      </c>
      <c r="D29" s="2" t="s">
        <v>13</v>
      </c>
      <c r="E29" s="2" t="s">
        <v>35</v>
      </c>
      <c r="F29" s="2">
        <v>186</v>
      </c>
      <c r="G29" s="8">
        <v>319.24</v>
      </c>
      <c r="H29" s="11">
        <f t="shared" si="0"/>
        <v>59378.64</v>
      </c>
      <c r="I29" s="11">
        <v>16003</v>
      </c>
      <c r="J29" s="17">
        <v>0.05</v>
      </c>
      <c r="K29" s="37" t="s">
        <v>356</v>
      </c>
      <c r="L29" s="31" t="str">
        <f>IF(sales[[#This Row],[Target]]&gt;25000,"MET TARGET","BELOW TARGET")</f>
        <v>BELOW TARGET</v>
      </c>
      <c r="M29" s="31" t="str">
        <f>IF(sales[[#This Row],[Units_Sold]]&gt;100,"500","0")</f>
        <v>500</v>
      </c>
      <c r="N29" s="31" t="str">
        <f>RIGHT(sales[[#This Row],[Emp_ID]],4)</f>
        <v>1028</v>
      </c>
      <c r="O29" s="45" t="str">
        <f>UPPER(sales[[#This Row],[Department]])</f>
        <v>CLOTHING</v>
      </c>
      <c r="P29" s="45" t="str">
        <f>LOWER(sales[[#This Row],[Department]])&amp;"@company.com"</f>
        <v>clothing@company.com</v>
      </c>
    </row>
    <row r="30" spans="1:16" ht="15" thickBot="1" x14ac:dyDescent="0.35">
      <c r="A30" s="15" t="s">
        <v>168</v>
      </c>
      <c r="B30" s="1" t="s">
        <v>37</v>
      </c>
      <c r="C30" s="1" t="s">
        <v>12</v>
      </c>
      <c r="D30" s="1" t="s">
        <v>28</v>
      </c>
      <c r="E30" s="1" t="s">
        <v>35</v>
      </c>
      <c r="F30" s="1">
        <v>136</v>
      </c>
      <c r="G30" s="7">
        <v>126.62</v>
      </c>
      <c r="H30" s="10">
        <f t="shared" si="0"/>
        <v>17220.32</v>
      </c>
      <c r="I30" s="10">
        <v>44842</v>
      </c>
      <c r="J30" s="16">
        <v>0.1</v>
      </c>
      <c r="K30" s="34">
        <f>COUNTIF(sales[Units_Sold],"&gt;100")</f>
        <v>104</v>
      </c>
      <c r="L30" s="31" t="str">
        <f>IF(sales[[#This Row],[Target]]&gt;25000,"MET TARGET","BELOW TARGET")</f>
        <v>MET TARGET</v>
      </c>
      <c r="M30" s="31" t="str">
        <f>IF(sales[[#This Row],[Units_Sold]]&gt;100,"500","0")</f>
        <v>500</v>
      </c>
      <c r="N30" s="31" t="str">
        <f>RIGHT(sales[[#This Row],[Emp_ID]],4)</f>
        <v>1029</v>
      </c>
      <c r="O30" s="45" t="str">
        <f>UPPER(sales[[#This Row],[Department]])</f>
        <v>ELECTRONICS</v>
      </c>
      <c r="P30" s="45" t="str">
        <f>LOWER(sales[[#This Row],[Department]])&amp;"@company.com"</f>
        <v>electronics@company.com</v>
      </c>
    </row>
    <row r="31" spans="1:16" x14ac:dyDescent="0.3">
      <c r="A31" s="15" t="s">
        <v>169</v>
      </c>
      <c r="B31" s="2" t="s">
        <v>18</v>
      </c>
      <c r="C31" s="2" t="s">
        <v>15</v>
      </c>
      <c r="D31" s="2" t="s">
        <v>46</v>
      </c>
      <c r="E31" s="2" t="s">
        <v>14</v>
      </c>
      <c r="F31" s="2">
        <v>151</v>
      </c>
      <c r="G31" s="8">
        <v>292.33999999999997</v>
      </c>
      <c r="H31" s="11">
        <f t="shared" si="0"/>
        <v>44143.34</v>
      </c>
      <c r="I31" s="11">
        <v>16925</v>
      </c>
      <c r="J31" s="17">
        <v>0.1</v>
      </c>
      <c r="K31" s="31"/>
      <c r="L31" s="31" t="str">
        <f>IF(sales[[#This Row],[Target]]&gt;25000,"MET TARGET","BELOW TARGET")</f>
        <v>BELOW TARGET</v>
      </c>
      <c r="M31" s="31" t="str">
        <f>IF(sales[[#This Row],[Units_Sold]]&gt;100,"500","0")</f>
        <v>500</v>
      </c>
      <c r="N31" s="31" t="str">
        <f>RIGHT(sales[[#This Row],[Emp_ID]],4)</f>
        <v>1030</v>
      </c>
      <c r="O31" s="45" t="str">
        <f>UPPER(sales[[#This Row],[Department]])</f>
        <v>GROCERY</v>
      </c>
      <c r="P31" s="45" t="str">
        <f>LOWER(sales[[#This Row],[Department]])&amp;"@company.com"</f>
        <v>grocery@company.com</v>
      </c>
    </row>
    <row r="32" spans="1:16" x14ac:dyDescent="0.3">
      <c r="A32" s="15" t="s">
        <v>170</v>
      </c>
      <c r="B32" s="1" t="s">
        <v>41</v>
      </c>
      <c r="C32" s="1" t="s">
        <v>27</v>
      </c>
      <c r="D32" s="1" t="s">
        <v>46</v>
      </c>
      <c r="E32" s="1" t="s">
        <v>35</v>
      </c>
      <c r="F32" s="1">
        <v>29</v>
      </c>
      <c r="G32" s="7">
        <v>332.9</v>
      </c>
      <c r="H32" s="10">
        <f t="shared" si="0"/>
        <v>9654.0999999999985</v>
      </c>
      <c r="I32" s="10">
        <v>24219</v>
      </c>
      <c r="J32" s="16">
        <v>0.1</v>
      </c>
      <c r="K32" s="31"/>
      <c r="L32" s="31" t="str">
        <f>IF(sales[[#This Row],[Target]]&gt;25000,"MET TARGET","BELOW TARGET")</f>
        <v>BELOW TARGET</v>
      </c>
      <c r="M32" s="31" t="str">
        <f>IF(sales[[#This Row],[Units_Sold]]&gt;100,"500","0")</f>
        <v>0</v>
      </c>
      <c r="N32" s="31" t="str">
        <f>RIGHT(sales[[#This Row],[Emp_ID]],4)</f>
        <v>1031</v>
      </c>
      <c r="O32" s="45" t="str">
        <f>UPPER(sales[[#This Row],[Department]])</f>
        <v>SPORTS</v>
      </c>
      <c r="P32" s="45" t="str">
        <f>LOWER(sales[[#This Row],[Department]])&amp;"@company.com"</f>
        <v>sports@company.com</v>
      </c>
    </row>
    <row r="33" spans="1:16" x14ac:dyDescent="0.3">
      <c r="A33" s="15" t="s">
        <v>171</v>
      </c>
      <c r="B33" s="2" t="s">
        <v>22</v>
      </c>
      <c r="C33" s="2" t="s">
        <v>27</v>
      </c>
      <c r="D33" s="2" t="s">
        <v>13</v>
      </c>
      <c r="E33" s="2" t="s">
        <v>47</v>
      </c>
      <c r="F33" s="2">
        <v>172</v>
      </c>
      <c r="G33" s="8">
        <v>492.24</v>
      </c>
      <c r="H33" s="11">
        <f t="shared" si="0"/>
        <v>84665.279999999999</v>
      </c>
      <c r="I33" s="11">
        <v>7449</v>
      </c>
      <c r="J33" s="17">
        <v>0.05</v>
      </c>
      <c r="K33" s="31"/>
      <c r="L33" s="31" t="str">
        <f>IF(sales[[#This Row],[Target]]&gt;25000,"MET TARGET","BELOW TARGET")</f>
        <v>BELOW TARGET</v>
      </c>
      <c r="M33" s="31" t="str">
        <f>IF(sales[[#This Row],[Units_Sold]]&gt;100,"500","0")</f>
        <v>500</v>
      </c>
      <c r="N33" s="31" t="str">
        <f>RIGHT(sales[[#This Row],[Emp_ID]],4)</f>
        <v>1032</v>
      </c>
      <c r="O33" s="45" t="str">
        <f>UPPER(sales[[#This Row],[Department]])</f>
        <v>SPORTS</v>
      </c>
      <c r="P33" s="45" t="str">
        <f>LOWER(sales[[#This Row],[Department]])&amp;"@company.com"</f>
        <v>sports@company.com</v>
      </c>
    </row>
    <row r="34" spans="1:16" x14ac:dyDescent="0.3">
      <c r="A34" s="15" t="s">
        <v>172</v>
      </c>
      <c r="B34" s="1" t="s">
        <v>22</v>
      </c>
      <c r="C34" s="1" t="s">
        <v>38</v>
      </c>
      <c r="D34" s="1" t="s">
        <v>13</v>
      </c>
      <c r="E34" s="1" t="s">
        <v>39</v>
      </c>
      <c r="F34" s="1">
        <v>54</v>
      </c>
      <c r="G34" s="7">
        <v>103.2</v>
      </c>
      <c r="H34" s="10">
        <f t="shared" ref="H34:H65" si="1">F34*G34</f>
        <v>5572.8</v>
      </c>
      <c r="I34" s="10">
        <v>30400</v>
      </c>
      <c r="J34" s="16">
        <v>7.0000000000000007E-2</v>
      </c>
      <c r="K34" s="31"/>
      <c r="L34" s="31" t="str">
        <f>IF(sales[[#This Row],[Target]]&gt;25000,"MET TARGET","BELOW TARGET")</f>
        <v>MET TARGET</v>
      </c>
      <c r="M34" s="31" t="str">
        <f>IF(sales[[#This Row],[Units_Sold]]&gt;100,"500","0")</f>
        <v>0</v>
      </c>
      <c r="N34" s="31" t="str">
        <f>RIGHT(sales[[#This Row],[Emp_ID]],4)</f>
        <v>1033</v>
      </c>
      <c r="O34" s="45" t="str">
        <f>UPPER(sales[[#This Row],[Department]])</f>
        <v>FURNITURE</v>
      </c>
      <c r="P34" s="45" t="str">
        <f>LOWER(sales[[#This Row],[Department]])&amp;"@company.com"</f>
        <v>furniture@company.com</v>
      </c>
    </row>
    <row r="35" spans="1:16" x14ac:dyDescent="0.3">
      <c r="A35" s="15" t="s">
        <v>173</v>
      </c>
      <c r="B35" s="2" t="s">
        <v>22</v>
      </c>
      <c r="C35" s="2" t="s">
        <v>23</v>
      </c>
      <c r="D35" s="2" t="s">
        <v>28</v>
      </c>
      <c r="E35" s="2" t="s">
        <v>55</v>
      </c>
      <c r="F35" s="2">
        <v>68</v>
      </c>
      <c r="G35" s="8">
        <v>438.5</v>
      </c>
      <c r="H35" s="11">
        <f t="shared" si="1"/>
        <v>29818</v>
      </c>
      <c r="I35" s="11">
        <v>5940</v>
      </c>
      <c r="J35" s="17">
        <v>0.1</v>
      </c>
      <c r="K35" s="31"/>
      <c r="L35" s="31" t="str">
        <f>IF(sales[[#This Row],[Target]]&gt;25000,"MET TARGET","BELOW TARGET")</f>
        <v>BELOW TARGET</v>
      </c>
      <c r="M35" s="31" t="str">
        <f>IF(sales[[#This Row],[Units_Sold]]&gt;100,"500","0")</f>
        <v>0</v>
      </c>
      <c r="N35" s="31" t="str">
        <f>RIGHT(sales[[#This Row],[Emp_ID]],4)</f>
        <v>1034</v>
      </c>
      <c r="O35" s="45" t="str">
        <f>UPPER(sales[[#This Row],[Department]])</f>
        <v>CLOTHING</v>
      </c>
      <c r="P35" s="45" t="str">
        <f>LOWER(sales[[#This Row],[Department]])&amp;"@company.com"</f>
        <v>clothing@company.com</v>
      </c>
    </row>
    <row r="36" spans="1:16" x14ac:dyDescent="0.3">
      <c r="A36" s="15" t="s">
        <v>174</v>
      </c>
      <c r="B36" s="1" t="s">
        <v>41</v>
      </c>
      <c r="C36" s="1" t="s">
        <v>15</v>
      </c>
      <c r="D36" s="1" t="s">
        <v>13</v>
      </c>
      <c r="E36" s="1" t="s">
        <v>20</v>
      </c>
      <c r="F36" s="1">
        <v>171</v>
      </c>
      <c r="G36" s="7">
        <v>499.65</v>
      </c>
      <c r="H36" s="10">
        <f t="shared" si="1"/>
        <v>85440.15</v>
      </c>
      <c r="I36" s="10">
        <v>1967</v>
      </c>
      <c r="J36" s="16">
        <v>0.05</v>
      </c>
      <c r="K36" s="31"/>
      <c r="L36" s="31" t="str">
        <f>IF(sales[[#This Row],[Target]]&gt;25000,"MET TARGET","BELOW TARGET")</f>
        <v>BELOW TARGET</v>
      </c>
      <c r="M36" s="31" t="str">
        <f>IF(sales[[#This Row],[Units_Sold]]&gt;100,"500","0")</f>
        <v>500</v>
      </c>
      <c r="N36" s="31" t="str">
        <f>RIGHT(sales[[#This Row],[Emp_ID]],4)</f>
        <v>1035</v>
      </c>
      <c r="O36" s="45" t="str">
        <f>UPPER(sales[[#This Row],[Department]])</f>
        <v>GROCERY</v>
      </c>
      <c r="P36" s="45" t="str">
        <f>LOWER(sales[[#This Row],[Department]])&amp;"@company.com"</f>
        <v>grocery@company.com</v>
      </c>
    </row>
    <row r="37" spans="1:16" x14ac:dyDescent="0.3">
      <c r="A37" s="15" t="s">
        <v>175</v>
      </c>
      <c r="B37" s="2" t="s">
        <v>37</v>
      </c>
      <c r="C37" s="2" t="s">
        <v>23</v>
      </c>
      <c r="D37" s="2" t="s">
        <v>46</v>
      </c>
      <c r="E37" s="2" t="s">
        <v>50</v>
      </c>
      <c r="F37" s="2">
        <v>129</v>
      </c>
      <c r="G37" s="8">
        <v>245.87</v>
      </c>
      <c r="H37" s="11">
        <f t="shared" si="1"/>
        <v>31717.23</v>
      </c>
      <c r="I37" s="11">
        <v>27282</v>
      </c>
      <c r="J37" s="17">
        <v>0.05</v>
      </c>
      <c r="K37" s="31"/>
      <c r="L37" s="31" t="str">
        <f>IF(sales[[#This Row],[Target]]&gt;25000,"MET TARGET","BELOW TARGET")</f>
        <v>MET TARGET</v>
      </c>
      <c r="M37" s="31" t="str">
        <f>IF(sales[[#This Row],[Units_Sold]]&gt;100,"500","0")</f>
        <v>500</v>
      </c>
      <c r="N37" s="31" t="str">
        <f>RIGHT(sales[[#This Row],[Emp_ID]],4)</f>
        <v>1036</v>
      </c>
      <c r="O37" s="45" t="str">
        <f>UPPER(sales[[#This Row],[Department]])</f>
        <v>CLOTHING</v>
      </c>
      <c r="P37" s="45" t="str">
        <f>LOWER(sales[[#This Row],[Department]])&amp;"@company.com"</f>
        <v>clothing@company.com</v>
      </c>
    </row>
    <row r="38" spans="1:16" x14ac:dyDescent="0.3">
      <c r="A38" s="15" t="s">
        <v>176</v>
      </c>
      <c r="B38" s="1" t="s">
        <v>43</v>
      </c>
      <c r="C38" s="1" t="s">
        <v>27</v>
      </c>
      <c r="D38" s="1" t="s">
        <v>13</v>
      </c>
      <c r="E38" s="1" t="s">
        <v>50</v>
      </c>
      <c r="F38" s="1">
        <v>72</v>
      </c>
      <c r="G38" s="7">
        <v>463.99</v>
      </c>
      <c r="H38" s="10">
        <f t="shared" si="1"/>
        <v>33407.279999999999</v>
      </c>
      <c r="I38" s="10">
        <v>30819</v>
      </c>
      <c r="J38" s="16">
        <v>0.08</v>
      </c>
      <c r="K38" s="31"/>
      <c r="L38" s="31" t="str">
        <f>IF(sales[[#This Row],[Target]]&gt;25000,"MET TARGET","BELOW TARGET")</f>
        <v>MET TARGET</v>
      </c>
      <c r="M38" s="31" t="str">
        <f>IF(sales[[#This Row],[Units_Sold]]&gt;100,"500","0")</f>
        <v>0</v>
      </c>
      <c r="N38" s="31" t="str">
        <f>RIGHT(sales[[#This Row],[Emp_ID]],4)</f>
        <v>1037</v>
      </c>
      <c r="O38" s="45" t="str">
        <f>UPPER(sales[[#This Row],[Department]])</f>
        <v>SPORTS</v>
      </c>
      <c r="P38" s="45" t="str">
        <f>LOWER(sales[[#This Row],[Department]])&amp;"@company.com"</f>
        <v>sports@company.com</v>
      </c>
    </row>
    <row r="39" spans="1:16" x14ac:dyDescent="0.3">
      <c r="A39" s="15" t="s">
        <v>177</v>
      </c>
      <c r="B39" s="2" t="s">
        <v>22</v>
      </c>
      <c r="C39" s="2" t="s">
        <v>15</v>
      </c>
      <c r="D39" s="2" t="s">
        <v>24</v>
      </c>
      <c r="E39" s="2" t="s">
        <v>54</v>
      </c>
      <c r="F39" s="2">
        <v>53</v>
      </c>
      <c r="G39" s="8">
        <v>155.38999999999999</v>
      </c>
      <c r="H39" s="11">
        <f t="shared" si="1"/>
        <v>8235.67</v>
      </c>
      <c r="I39" s="11">
        <v>4832</v>
      </c>
      <c r="J39" s="17">
        <v>0.12</v>
      </c>
      <c r="K39" s="31"/>
      <c r="L39" s="31" t="str">
        <f>IF(sales[[#This Row],[Target]]&gt;25000,"MET TARGET","BELOW TARGET")</f>
        <v>BELOW TARGET</v>
      </c>
      <c r="M39" s="31" t="str">
        <f>IF(sales[[#This Row],[Units_Sold]]&gt;100,"500","0")</f>
        <v>0</v>
      </c>
      <c r="N39" s="31" t="str">
        <f>RIGHT(sales[[#This Row],[Emp_ID]],4)</f>
        <v>1038</v>
      </c>
      <c r="O39" s="45" t="str">
        <f>UPPER(sales[[#This Row],[Department]])</f>
        <v>GROCERY</v>
      </c>
      <c r="P39" s="45" t="str">
        <f>LOWER(sales[[#This Row],[Department]])&amp;"@company.com"</f>
        <v>grocery@company.com</v>
      </c>
    </row>
    <row r="40" spans="1:16" x14ac:dyDescent="0.3">
      <c r="A40" s="15" t="s">
        <v>178</v>
      </c>
      <c r="B40" s="1" t="s">
        <v>26</v>
      </c>
      <c r="C40" s="1" t="s">
        <v>15</v>
      </c>
      <c r="D40" s="1" t="s">
        <v>13</v>
      </c>
      <c r="E40" s="1" t="s">
        <v>14</v>
      </c>
      <c r="F40" s="1">
        <v>85</v>
      </c>
      <c r="G40" s="7">
        <v>38.01</v>
      </c>
      <c r="H40" s="10">
        <f t="shared" si="1"/>
        <v>3230.85</v>
      </c>
      <c r="I40" s="10">
        <v>39284</v>
      </c>
      <c r="J40" s="16">
        <v>0.1</v>
      </c>
      <c r="K40" s="31"/>
      <c r="L40" s="31" t="str">
        <f>IF(sales[[#This Row],[Target]]&gt;25000,"MET TARGET","BELOW TARGET")</f>
        <v>MET TARGET</v>
      </c>
      <c r="M40" s="31" t="str">
        <f>IF(sales[[#This Row],[Units_Sold]]&gt;100,"500","0")</f>
        <v>0</v>
      </c>
      <c r="N40" s="31" t="str">
        <f>RIGHT(sales[[#This Row],[Emp_ID]],4)</f>
        <v>1039</v>
      </c>
      <c r="O40" s="45" t="str">
        <f>UPPER(sales[[#This Row],[Department]])</f>
        <v>GROCERY</v>
      </c>
      <c r="P40" s="45" t="str">
        <f>LOWER(sales[[#This Row],[Department]])&amp;"@company.com"</f>
        <v>grocery@company.com</v>
      </c>
    </row>
    <row r="41" spans="1:16" x14ac:dyDescent="0.3">
      <c r="A41" s="15" t="s">
        <v>179</v>
      </c>
      <c r="B41" s="2" t="s">
        <v>34</v>
      </c>
      <c r="C41" s="2" t="s">
        <v>15</v>
      </c>
      <c r="D41" s="2" t="s">
        <v>46</v>
      </c>
      <c r="E41" s="2" t="s">
        <v>20</v>
      </c>
      <c r="F41" s="2">
        <v>135</v>
      </c>
      <c r="G41" s="8">
        <v>49.25</v>
      </c>
      <c r="H41" s="11">
        <f t="shared" si="1"/>
        <v>6648.75</v>
      </c>
      <c r="I41" s="11">
        <v>13178</v>
      </c>
      <c r="J41" s="17">
        <v>0.05</v>
      </c>
      <c r="K41" s="31"/>
      <c r="L41" s="31" t="str">
        <f>IF(sales[[#This Row],[Target]]&gt;25000,"MET TARGET","BELOW TARGET")</f>
        <v>BELOW TARGET</v>
      </c>
      <c r="M41" s="31" t="str">
        <f>IF(sales[[#This Row],[Units_Sold]]&gt;100,"500","0")</f>
        <v>500</v>
      </c>
      <c r="N41" s="31" t="str">
        <f>RIGHT(sales[[#This Row],[Emp_ID]],4)</f>
        <v>1040</v>
      </c>
      <c r="O41" s="45" t="str">
        <f>UPPER(sales[[#This Row],[Department]])</f>
        <v>GROCERY</v>
      </c>
      <c r="P41" s="45" t="str">
        <f>LOWER(sales[[#This Row],[Department]])&amp;"@company.com"</f>
        <v>grocery@company.com</v>
      </c>
    </row>
    <row r="42" spans="1:16" x14ac:dyDescent="0.3">
      <c r="A42" s="15" t="s">
        <v>180</v>
      </c>
      <c r="B42" s="1" t="s">
        <v>45</v>
      </c>
      <c r="C42" s="1" t="s">
        <v>12</v>
      </c>
      <c r="D42" s="1" t="s">
        <v>46</v>
      </c>
      <c r="E42" s="1" t="s">
        <v>50</v>
      </c>
      <c r="F42" s="1">
        <v>35</v>
      </c>
      <c r="G42" s="7">
        <v>471.38</v>
      </c>
      <c r="H42" s="10">
        <f t="shared" si="1"/>
        <v>16498.3</v>
      </c>
      <c r="I42" s="10">
        <v>38334</v>
      </c>
      <c r="J42" s="16">
        <v>7.0000000000000007E-2</v>
      </c>
      <c r="K42" s="31"/>
      <c r="L42" s="31" t="str">
        <f>IF(sales[[#This Row],[Target]]&gt;25000,"MET TARGET","BELOW TARGET")</f>
        <v>MET TARGET</v>
      </c>
      <c r="M42" s="31" t="str">
        <f>IF(sales[[#This Row],[Units_Sold]]&gt;100,"500","0")</f>
        <v>0</v>
      </c>
      <c r="N42" s="31" t="str">
        <f>RIGHT(sales[[#This Row],[Emp_ID]],4)</f>
        <v>1041</v>
      </c>
      <c r="O42" s="45" t="str">
        <f>UPPER(sales[[#This Row],[Department]])</f>
        <v>ELECTRONICS</v>
      </c>
      <c r="P42" s="45" t="str">
        <f>LOWER(sales[[#This Row],[Department]])&amp;"@company.com"</f>
        <v>electronics@company.com</v>
      </c>
    </row>
    <row r="43" spans="1:16" x14ac:dyDescent="0.3">
      <c r="A43" s="15" t="s">
        <v>181</v>
      </c>
      <c r="B43" s="2" t="s">
        <v>45</v>
      </c>
      <c r="C43" s="2" t="s">
        <v>15</v>
      </c>
      <c r="D43" s="2" t="s">
        <v>13</v>
      </c>
      <c r="E43" s="2" t="s">
        <v>16</v>
      </c>
      <c r="F43" s="2">
        <v>25</v>
      </c>
      <c r="G43" s="8">
        <v>215.42</v>
      </c>
      <c r="H43" s="11">
        <f t="shared" si="1"/>
        <v>5385.5</v>
      </c>
      <c r="I43" s="11">
        <v>39251</v>
      </c>
      <c r="J43" s="17">
        <v>0.12</v>
      </c>
      <c r="K43" s="31"/>
      <c r="L43" s="31" t="str">
        <f>IF(sales[[#This Row],[Target]]&gt;25000,"MET TARGET","BELOW TARGET")</f>
        <v>MET TARGET</v>
      </c>
      <c r="M43" s="31" t="str">
        <f>IF(sales[[#This Row],[Units_Sold]]&gt;100,"500","0")</f>
        <v>0</v>
      </c>
      <c r="N43" s="31" t="str">
        <f>RIGHT(sales[[#This Row],[Emp_ID]],4)</f>
        <v>1042</v>
      </c>
      <c r="O43" s="45" t="str">
        <f>UPPER(sales[[#This Row],[Department]])</f>
        <v>GROCERY</v>
      </c>
      <c r="P43" s="45" t="str">
        <f>LOWER(sales[[#This Row],[Department]])&amp;"@company.com"</f>
        <v>grocery@company.com</v>
      </c>
    </row>
    <row r="44" spans="1:16" x14ac:dyDescent="0.3">
      <c r="A44" s="15" t="s">
        <v>182</v>
      </c>
      <c r="B44" s="1" t="s">
        <v>34</v>
      </c>
      <c r="C44" s="1" t="s">
        <v>38</v>
      </c>
      <c r="D44" s="1" t="s">
        <v>28</v>
      </c>
      <c r="E44" s="1" t="s">
        <v>39</v>
      </c>
      <c r="F44" s="1">
        <v>176</v>
      </c>
      <c r="G44" s="7">
        <v>360.93</v>
      </c>
      <c r="H44" s="10">
        <f t="shared" si="1"/>
        <v>63523.68</v>
      </c>
      <c r="I44" s="10">
        <v>16642</v>
      </c>
      <c r="J44" s="16">
        <v>0.08</v>
      </c>
      <c r="K44" s="31"/>
      <c r="L44" s="31" t="str">
        <f>IF(sales[[#This Row],[Target]]&gt;25000,"MET TARGET","BELOW TARGET")</f>
        <v>BELOW TARGET</v>
      </c>
      <c r="M44" s="31" t="str">
        <f>IF(sales[[#This Row],[Units_Sold]]&gt;100,"500","0")</f>
        <v>500</v>
      </c>
      <c r="N44" s="31" t="str">
        <f>RIGHT(sales[[#This Row],[Emp_ID]],4)</f>
        <v>1043</v>
      </c>
      <c r="O44" s="45" t="str">
        <f>UPPER(sales[[#This Row],[Department]])</f>
        <v>FURNITURE</v>
      </c>
      <c r="P44" s="45" t="str">
        <f>LOWER(sales[[#This Row],[Department]])&amp;"@company.com"</f>
        <v>furniture@company.com</v>
      </c>
    </row>
    <row r="45" spans="1:16" x14ac:dyDescent="0.3">
      <c r="A45" s="15" t="s">
        <v>183</v>
      </c>
      <c r="B45" s="2" t="s">
        <v>22</v>
      </c>
      <c r="C45" s="2" t="s">
        <v>23</v>
      </c>
      <c r="D45" s="2" t="s">
        <v>28</v>
      </c>
      <c r="E45" s="2" t="s">
        <v>55</v>
      </c>
      <c r="F45" s="2">
        <v>85</v>
      </c>
      <c r="G45" s="8">
        <v>465.22</v>
      </c>
      <c r="H45" s="11">
        <f t="shared" si="1"/>
        <v>39543.700000000004</v>
      </c>
      <c r="I45" s="11">
        <v>5754</v>
      </c>
      <c r="J45" s="17">
        <v>0.05</v>
      </c>
      <c r="K45" s="31"/>
      <c r="L45" s="31" t="str">
        <f>IF(sales[[#This Row],[Target]]&gt;25000,"MET TARGET","BELOW TARGET")</f>
        <v>BELOW TARGET</v>
      </c>
      <c r="M45" s="31" t="str">
        <f>IF(sales[[#This Row],[Units_Sold]]&gt;100,"500","0")</f>
        <v>0</v>
      </c>
      <c r="N45" s="31" t="str">
        <f>RIGHT(sales[[#This Row],[Emp_ID]],4)</f>
        <v>1044</v>
      </c>
      <c r="O45" s="45" t="str">
        <f>UPPER(sales[[#This Row],[Department]])</f>
        <v>CLOTHING</v>
      </c>
      <c r="P45" s="45" t="str">
        <f>LOWER(sales[[#This Row],[Department]])&amp;"@company.com"</f>
        <v>clothing@company.com</v>
      </c>
    </row>
    <row r="46" spans="1:16" x14ac:dyDescent="0.3">
      <c r="A46" s="15" t="s">
        <v>184</v>
      </c>
      <c r="B46" s="1" t="s">
        <v>57</v>
      </c>
      <c r="C46" s="1" t="s">
        <v>15</v>
      </c>
      <c r="D46" s="1" t="s">
        <v>19</v>
      </c>
      <c r="E46" s="1" t="s">
        <v>35</v>
      </c>
      <c r="F46" s="1">
        <v>23</v>
      </c>
      <c r="G46" s="7">
        <v>273.44</v>
      </c>
      <c r="H46" s="10">
        <f t="shared" si="1"/>
        <v>6289.12</v>
      </c>
      <c r="I46" s="10">
        <v>34153</v>
      </c>
      <c r="J46" s="16">
        <v>0.08</v>
      </c>
      <c r="K46" s="31"/>
      <c r="L46" s="31" t="str">
        <f>IF(sales[[#This Row],[Target]]&gt;25000,"MET TARGET","BELOW TARGET")</f>
        <v>MET TARGET</v>
      </c>
      <c r="M46" s="31" t="str">
        <f>IF(sales[[#This Row],[Units_Sold]]&gt;100,"500","0")</f>
        <v>0</v>
      </c>
      <c r="N46" s="31" t="str">
        <f>RIGHT(sales[[#This Row],[Emp_ID]],4)</f>
        <v>1045</v>
      </c>
      <c r="O46" s="45" t="str">
        <f>UPPER(sales[[#This Row],[Department]])</f>
        <v>GROCERY</v>
      </c>
      <c r="P46" s="45" t="str">
        <f>LOWER(sales[[#This Row],[Department]])&amp;"@company.com"</f>
        <v>grocery@company.com</v>
      </c>
    </row>
    <row r="47" spans="1:16" x14ac:dyDescent="0.3">
      <c r="A47" s="15" t="s">
        <v>185</v>
      </c>
      <c r="B47" s="2" t="s">
        <v>43</v>
      </c>
      <c r="C47" s="2" t="s">
        <v>38</v>
      </c>
      <c r="D47" s="2" t="s">
        <v>13</v>
      </c>
      <c r="E47" s="2" t="s">
        <v>39</v>
      </c>
      <c r="F47" s="2">
        <v>99</v>
      </c>
      <c r="G47" s="8">
        <v>149.63999999999999</v>
      </c>
      <c r="H47" s="11">
        <f t="shared" si="1"/>
        <v>14814.359999999999</v>
      </c>
      <c r="I47" s="11">
        <v>29716</v>
      </c>
      <c r="J47" s="17">
        <v>0.12</v>
      </c>
      <c r="K47" s="31"/>
      <c r="L47" s="31" t="str">
        <f>IF(sales[[#This Row],[Target]]&gt;25000,"MET TARGET","BELOW TARGET")</f>
        <v>MET TARGET</v>
      </c>
      <c r="M47" s="31" t="str">
        <f>IF(sales[[#This Row],[Units_Sold]]&gt;100,"500","0")</f>
        <v>0</v>
      </c>
      <c r="N47" s="31" t="str">
        <f>RIGHT(sales[[#This Row],[Emp_ID]],4)</f>
        <v>1046</v>
      </c>
      <c r="O47" s="45" t="str">
        <f>UPPER(sales[[#This Row],[Department]])</f>
        <v>FURNITURE</v>
      </c>
      <c r="P47" s="45" t="str">
        <f>LOWER(sales[[#This Row],[Department]])&amp;"@company.com"</f>
        <v>furniture@company.com</v>
      </c>
    </row>
    <row r="48" spans="1:16" x14ac:dyDescent="0.3">
      <c r="A48" s="15" t="s">
        <v>186</v>
      </c>
      <c r="B48" s="1" t="s">
        <v>26</v>
      </c>
      <c r="C48" s="1" t="s">
        <v>38</v>
      </c>
      <c r="D48" s="1" t="s">
        <v>19</v>
      </c>
      <c r="E48" s="1" t="s">
        <v>47</v>
      </c>
      <c r="F48" s="1">
        <v>140</v>
      </c>
      <c r="G48" s="7">
        <v>13.83</v>
      </c>
      <c r="H48" s="10">
        <f t="shared" si="1"/>
        <v>1936.2</v>
      </c>
      <c r="I48" s="10">
        <v>37346</v>
      </c>
      <c r="J48" s="16">
        <v>0.08</v>
      </c>
      <c r="K48" s="31"/>
      <c r="L48" s="31" t="str">
        <f>IF(sales[[#This Row],[Target]]&gt;25000,"MET TARGET","BELOW TARGET")</f>
        <v>MET TARGET</v>
      </c>
      <c r="M48" s="31" t="str">
        <f>IF(sales[[#This Row],[Units_Sold]]&gt;100,"500","0")</f>
        <v>500</v>
      </c>
      <c r="N48" s="31" t="str">
        <f>RIGHT(sales[[#This Row],[Emp_ID]],4)</f>
        <v>1047</v>
      </c>
      <c r="O48" s="45" t="str">
        <f>UPPER(sales[[#This Row],[Department]])</f>
        <v>FURNITURE</v>
      </c>
      <c r="P48" s="45" t="str">
        <f>LOWER(sales[[#This Row],[Department]])&amp;"@company.com"</f>
        <v>furniture@company.com</v>
      </c>
    </row>
    <row r="49" spans="1:16" x14ac:dyDescent="0.3">
      <c r="A49" s="15" t="s">
        <v>187</v>
      </c>
      <c r="B49" s="2" t="s">
        <v>37</v>
      </c>
      <c r="C49" s="2" t="s">
        <v>12</v>
      </c>
      <c r="D49" s="2" t="s">
        <v>46</v>
      </c>
      <c r="E49" s="2" t="s">
        <v>29</v>
      </c>
      <c r="F49" s="2">
        <v>34</v>
      </c>
      <c r="G49" s="8">
        <v>445.96</v>
      </c>
      <c r="H49" s="11">
        <f t="shared" si="1"/>
        <v>15162.64</v>
      </c>
      <c r="I49" s="11">
        <v>49655</v>
      </c>
      <c r="J49" s="17">
        <v>0.12</v>
      </c>
      <c r="K49" s="31"/>
      <c r="L49" s="31" t="str">
        <f>IF(sales[[#This Row],[Target]]&gt;25000,"MET TARGET","BELOW TARGET")</f>
        <v>MET TARGET</v>
      </c>
      <c r="M49" s="31" t="str">
        <f>IF(sales[[#This Row],[Units_Sold]]&gt;100,"500","0")</f>
        <v>0</v>
      </c>
      <c r="N49" s="31" t="str">
        <f>RIGHT(sales[[#This Row],[Emp_ID]],4)</f>
        <v>1048</v>
      </c>
      <c r="O49" s="45" t="str">
        <f>UPPER(sales[[#This Row],[Department]])</f>
        <v>ELECTRONICS</v>
      </c>
      <c r="P49" s="45" t="str">
        <f>LOWER(sales[[#This Row],[Department]])&amp;"@company.com"</f>
        <v>electronics@company.com</v>
      </c>
    </row>
    <row r="50" spans="1:16" x14ac:dyDescent="0.3">
      <c r="A50" s="15" t="s">
        <v>188</v>
      </c>
      <c r="B50" s="1" t="s">
        <v>43</v>
      </c>
      <c r="C50" s="1" t="s">
        <v>38</v>
      </c>
      <c r="D50" s="1" t="s">
        <v>28</v>
      </c>
      <c r="E50" s="1" t="s">
        <v>16</v>
      </c>
      <c r="F50" s="1">
        <v>58</v>
      </c>
      <c r="G50" s="7">
        <v>361.63</v>
      </c>
      <c r="H50" s="10">
        <f t="shared" si="1"/>
        <v>20974.54</v>
      </c>
      <c r="I50" s="10">
        <v>14342</v>
      </c>
      <c r="J50" s="16">
        <v>0.08</v>
      </c>
      <c r="K50" s="31"/>
      <c r="L50" s="31" t="str">
        <f>IF(sales[[#This Row],[Target]]&gt;25000,"MET TARGET","BELOW TARGET")</f>
        <v>BELOW TARGET</v>
      </c>
      <c r="M50" s="31" t="str">
        <f>IF(sales[[#This Row],[Units_Sold]]&gt;100,"500","0")</f>
        <v>0</v>
      </c>
      <c r="N50" s="31" t="str">
        <f>RIGHT(sales[[#This Row],[Emp_ID]],4)</f>
        <v>1049</v>
      </c>
      <c r="O50" s="45" t="str">
        <f>UPPER(sales[[#This Row],[Department]])</f>
        <v>FURNITURE</v>
      </c>
      <c r="P50" s="45" t="str">
        <f>LOWER(sales[[#This Row],[Department]])&amp;"@company.com"</f>
        <v>furniture@company.com</v>
      </c>
    </row>
    <row r="51" spans="1:16" x14ac:dyDescent="0.3">
      <c r="A51" s="15" t="s">
        <v>189</v>
      </c>
      <c r="B51" s="2" t="s">
        <v>34</v>
      </c>
      <c r="C51" s="2" t="s">
        <v>27</v>
      </c>
      <c r="D51" s="2" t="s">
        <v>28</v>
      </c>
      <c r="E51" s="2" t="s">
        <v>20</v>
      </c>
      <c r="F51" s="2">
        <v>28</v>
      </c>
      <c r="G51" s="8">
        <v>320.8</v>
      </c>
      <c r="H51" s="11">
        <f t="shared" si="1"/>
        <v>8982.4</v>
      </c>
      <c r="I51" s="11">
        <v>19132</v>
      </c>
      <c r="J51" s="17">
        <v>0.05</v>
      </c>
      <c r="K51" s="31"/>
      <c r="L51" s="31" t="str">
        <f>IF(sales[[#This Row],[Target]]&gt;25000,"MET TARGET","BELOW TARGET")</f>
        <v>BELOW TARGET</v>
      </c>
      <c r="M51" s="31" t="str">
        <f>IF(sales[[#This Row],[Units_Sold]]&gt;100,"500","0")</f>
        <v>0</v>
      </c>
      <c r="N51" s="31" t="str">
        <f>RIGHT(sales[[#This Row],[Emp_ID]],4)</f>
        <v>1050</v>
      </c>
      <c r="O51" s="45" t="str">
        <f>UPPER(sales[[#This Row],[Department]])</f>
        <v>SPORTS</v>
      </c>
      <c r="P51" s="45" t="str">
        <f>LOWER(sales[[#This Row],[Department]])&amp;"@company.com"</f>
        <v>sports@company.com</v>
      </c>
    </row>
    <row r="52" spans="1:16" x14ac:dyDescent="0.3">
      <c r="A52" s="15" t="s">
        <v>190</v>
      </c>
      <c r="B52" s="1" t="s">
        <v>59</v>
      </c>
      <c r="C52" s="1" t="s">
        <v>38</v>
      </c>
      <c r="D52" s="1" t="s">
        <v>46</v>
      </c>
      <c r="E52" s="1" t="s">
        <v>47</v>
      </c>
      <c r="F52" s="1">
        <v>72</v>
      </c>
      <c r="G52" s="7">
        <v>89.18</v>
      </c>
      <c r="H52" s="10">
        <f t="shared" si="1"/>
        <v>6420.9600000000009</v>
      </c>
      <c r="I52" s="10">
        <v>29956</v>
      </c>
      <c r="J52" s="16">
        <v>0.12</v>
      </c>
      <c r="K52" s="31"/>
      <c r="L52" s="31" t="str">
        <f>IF(sales[[#This Row],[Target]]&gt;25000,"MET TARGET","BELOW TARGET")</f>
        <v>MET TARGET</v>
      </c>
      <c r="M52" s="31" t="str">
        <f>IF(sales[[#This Row],[Units_Sold]]&gt;100,"500","0")</f>
        <v>0</v>
      </c>
      <c r="N52" s="31" t="str">
        <f>RIGHT(sales[[#This Row],[Emp_ID]],4)</f>
        <v>1051</v>
      </c>
      <c r="O52" s="45" t="str">
        <f>UPPER(sales[[#This Row],[Department]])</f>
        <v>FURNITURE</v>
      </c>
      <c r="P52" s="45" t="str">
        <f>LOWER(sales[[#This Row],[Department]])&amp;"@company.com"</f>
        <v>furniture@company.com</v>
      </c>
    </row>
    <row r="53" spans="1:16" x14ac:dyDescent="0.3">
      <c r="A53" s="15" t="s">
        <v>191</v>
      </c>
      <c r="B53" s="2" t="s">
        <v>26</v>
      </c>
      <c r="C53" s="2" t="s">
        <v>27</v>
      </c>
      <c r="D53" s="2" t="s">
        <v>19</v>
      </c>
      <c r="E53" s="2" t="s">
        <v>20</v>
      </c>
      <c r="F53" s="2">
        <v>33</v>
      </c>
      <c r="G53" s="8">
        <v>46.87</v>
      </c>
      <c r="H53" s="11">
        <f t="shared" si="1"/>
        <v>1546.7099999999998</v>
      </c>
      <c r="I53" s="11">
        <v>46286</v>
      </c>
      <c r="J53" s="17">
        <v>7.0000000000000007E-2</v>
      </c>
      <c r="K53" s="31"/>
      <c r="L53" s="31" t="str">
        <f>IF(sales[[#This Row],[Target]]&gt;25000,"MET TARGET","BELOW TARGET")</f>
        <v>MET TARGET</v>
      </c>
      <c r="M53" s="31" t="str">
        <f>IF(sales[[#This Row],[Units_Sold]]&gt;100,"500","0")</f>
        <v>0</v>
      </c>
      <c r="N53" s="31" t="str">
        <f>RIGHT(sales[[#This Row],[Emp_ID]],4)</f>
        <v>1052</v>
      </c>
      <c r="O53" s="45" t="str">
        <f>UPPER(sales[[#This Row],[Department]])</f>
        <v>SPORTS</v>
      </c>
      <c r="P53" s="45" t="str">
        <f>LOWER(sales[[#This Row],[Department]])&amp;"@company.com"</f>
        <v>sports@company.com</v>
      </c>
    </row>
    <row r="54" spans="1:16" x14ac:dyDescent="0.3">
      <c r="A54" s="15" t="s">
        <v>192</v>
      </c>
      <c r="B54" s="1" t="s">
        <v>34</v>
      </c>
      <c r="C54" s="1" t="s">
        <v>12</v>
      </c>
      <c r="D54" s="1" t="s">
        <v>28</v>
      </c>
      <c r="E54" s="1" t="s">
        <v>16</v>
      </c>
      <c r="F54" s="1">
        <v>146</v>
      </c>
      <c r="G54" s="7">
        <v>82.57</v>
      </c>
      <c r="H54" s="10">
        <f t="shared" si="1"/>
        <v>12055.22</v>
      </c>
      <c r="I54" s="10">
        <v>9352</v>
      </c>
      <c r="J54" s="16">
        <v>0.05</v>
      </c>
      <c r="K54" s="31"/>
      <c r="L54" s="31" t="str">
        <f>IF(sales[[#This Row],[Target]]&gt;25000,"MET TARGET","BELOW TARGET")</f>
        <v>BELOW TARGET</v>
      </c>
      <c r="M54" s="31" t="str">
        <f>IF(sales[[#This Row],[Units_Sold]]&gt;100,"500","0")</f>
        <v>500</v>
      </c>
      <c r="N54" s="31" t="str">
        <f>RIGHT(sales[[#This Row],[Emp_ID]],4)</f>
        <v>1053</v>
      </c>
      <c r="O54" s="45" t="str">
        <f>UPPER(sales[[#This Row],[Department]])</f>
        <v>ELECTRONICS</v>
      </c>
      <c r="P54" s="45" t="str">
        <f>LOWER(sales[[#This Row],[Department]])&amp;"@company.com"</f>
        <v>electronics@company.com</v>
      </c>
    </row>
    <row r="55" spans="1:16" x14ac:dyDescent="0.3">
      <c r="A55" s="15" t="s">
        <v>193</v>
      </c>
      <c r="B55" s="2" t="s">
        <v>61</v>
      </c>
      <c r="C55" s="2" t="s">
        <v>38</v>
      </c>
      <c r="D55" s="2" t="s">
        <v>13</v>
      </c>
      <c r="E55" s="2" t="s">
        <v>32</v>
      </c>
      <c r="F55" s="2">
        <v>58</v>
      </c>
      <c r="G55" s="8">
        <v>344.21</v>
      </c>
      <c r="H55" s="11">
        <f t="shared" si="1"/>
        <v>19964.18</v>
      </c>
      <c r="I55" s="11">
        <v>44708</v>
      </c>
      <c r="J55" s="17">
        <v>0.05</v>
      </c>
      <c r="K55" s="31"/>
      <c r="L55" s="31" t="str">
        <f>IF(sales[[#This Row],[Target]]&gt;25000,"MET TARGET","BELOW TARGET")</f>
        <v>MET TARGET</v>
      </c>
      <c r="M55" s="31" t="str">
        <f>IF(sales[[#This Row],[Units_Sold]]&gt;100,"500","0")</f>
        <v>0</v>
      </c>
      <c r="N55" s="31" t="str">
        <f>RIGHT(sales[[#This Row],[Emp_ID]],4)</f>
        <v>1054</v>
      </c>
      <c r="O55" s="45" t="str">
        <f>UPPER(sales[[#This Row],[Department]])</f>
        <v>FURNITURE</v>
      </c>
      <c r="P55" s="45" t="str">
        <f>LOWER(sales[[#This Row],[Department]])&amp;"@company.com"</f>
        <v>furniture@company.com</v>
      </c>
    </row>
    <row r="56" spans="1:16" x14ac:dyDescent="0.3">
      <c r="A56" s="15" t="s">
        <v>194</v>
      </c>
      <c r="B56" s="1" t="s">
        <v>52</v>
      </c>
      <c r="C56" s="1" t="s">
        <v>15</v>
      </c>
      <c r="D56" s="1" t="s">
        <v>24</v>
      </c>
      <c r="E56" s="1" t="s">
        <v>16</v>
      </c>
      <c r="F56" s="1">
        <v>196</v>
      </c>
      <c r="G56" s="7">
        <v>85.73</v>
      </c>
      <c r="H56" s="10">
        <f t="shared" si="1"/>
        <v>16803.080000000002</v>
      </c>
      <c r="I56" s="10">
        <v>16514</v>
      </c>
      <c r="J56" s="16">
        <v>7.0000000000000007E-2</v>
      </c>
      <c r="K56" s="31"/>
      <c r="L56" s="31" t="str">
        <f>IF(sales[[#This Row],[Target]]&gt;25000,"MET TARGET","BELOW TARGET")</f>
        <v>BELOW TARGET</v>
      </c>
      <c r="M56" s="31" t="str">
        <f>IF(sales[[#This Row],[Units_Sold]]&gt;100,"500","0")</f>
        <v>500</v>
      </c>
      <c r="N56" s="31" t="str">
        <f>RIGHT(sales[[#This Row],[Emp_ID]],4)</f>
        <v>1055</v>
      </c>
      <c r="O56" s="45" t="str">
        <f>UPPER(sales[[#This Row],[Department]])</f>
        <v>GROCERY</v>
      </c>
      <c r="P56" s="45" t="str">
        <f>LOWER(sales[[#This Row],[Department]])&amp;"@company.com"</f>
        <v>grocery@company.com</v>
      </c>
    </row>
    <row r="57" spans="1:16" x14ac:dyDescent="0.3">
      <c r="A57" s="15" t="s">
        <v>195</v>
      </c>
      <c r="B57" s="2" t="s">
        <v>41</v>
      </c>
      <c r="C57" s="2" t="s">
        <v>23</v>
      </c>
      <c r="D57" s="2" t="s">
        <v>24</v>
      </c>
      <c r="E57" s="2" t="s">
        <v>20</v>
      </c>
      <c r="F57" s="2">
        <v>50</v>
      </c>
      <c r="G57" s="8">
        <v>370.92</v>
      </c>
      <c r="H57" s="11">
        <f t="shared" si="1"/>
        <v>18546</v>
      </c>
      <c r="I57" s="11">
        <v>22770</v>
      </c>
      <c r="J57" s="17">
        <v>0.1</v>
      </c>
      <c r="K57" s="31"/>
      <c r="L57" s="31" t="str">
        <f>IF(sales[[#This Row],[Target]]&gt;25000,"MET TARGET","BELOW TARGET")</f>
        <v>BELOW TARGET</v>
      </c>
      <c r="M57" s="31" t="str">
        <f>IF(sales[[#This Row],[Units_Sold]]&gt;100,"500","0")</f>
        <v>0</v>
      </c>
      <c r="N57" s="31" t="str">
        <f>RIGHT(sales[[#This Row],[Emp_ID]],4)</f>
        <v>1056</v>
      </c>
      <c r="O57" s="45" t="str">
        <f>UPPER(sales[[#This Row],[Department]])</f>
        <v>CLOTHING</v>
      </c>
      <c r="P57" s="45" t="str">
        <f>LOWER(sales[[#This Row],[Department]])&amp;"@company.com"</f>
        <v>clothing@company.com</v>
      </c>
    </row>
    <row r="58" spans="1:16" x14ac:dyDescent="0.3">
      <c r="A58" s="15" t="s">
        <v>196</v>
      </c>
      <c r="B58" s="1" t="s">
        <v>41</v>
      </c>
      <c r="C58" s="1" t="s">
        <v>23</v>
      </c>
      <c r="D58" s="1" t="s">
        <v>28</v>
      </c>
      <c r="E58" s="1" t="s">
        <v>54</v>
      </c>
      <c r="F58" s="1">
        <v>184</v>
      </c>
      <c r="G58" s="7">
        <v>62.97</v>
      </c>
      <c r="H58" s="10">
        <f t="shared" si="1"/>
        <v>11586.48</v>
      </c>
      <c r="I58" s="10">
        <v>3537</v>
      </c>
      <c r="J58" s="16">
        <v>0.1</v>
      </c>
      <c r="K58" s="31"/>
      <c r="L58" s="31" t="str">
        <f>IF(sales[[#This Row],[Target]]&gt;25000,"MET TARGET","BELOW TARGET")</f>
        <v>BELOW TARGET</v>
      </c>
      <c r="M58" s="31" t="str">
        <f>IF(sales[[#This Row],[Units_Sold]]&gt;100,"500","0")</f>
        <v>500</v>
      </c>
      <c r="N58" s="31" t="str">
        <f>RIGHT(sales[[#This Row],[Emp_ID]],4)</f>
        <v>1057</v>
      </c>
      <c r="O58" s="45" t="str">
        <f>UPPER(sales[[#This Row],[Department]])</f>
        <v>CLOTHING</v>
      </c>
      <c r="P58" s="45" t="str">
        <f>LOWER(sales[[#This Row],[Department]])&amp;"@company.com"</f>
        <v>clothing@company.com</v>
      </c>
    </row>
    <row r="59" spans="1:16" x14ac:dyDescent="0.3">
      <c r="A59" s="15" t="s">
        <v>197</v>
      </c>
      <c r="B59" s="2" t="s">
        <v>18</v>
      </c>
      <c r="C59" s="2" t="s">
        <v>23</v>
      </c>
      <c r="D59" s="2" t="s">
        <v>24</v>
      </c>
      <c r="E59" s="2" t="s">
        <v>32</v>
      </c>
      <c r="F59" s="2">
        <v>83</v>
      </c>
      <c r="G59" s="8">
        <v>412.06</v>
      </c>
      <c r="H59" s="11">
        <f t="shared" si="1"/>
        <v>34200.980000000003</v>
      </c>
      <c r="I59" s="11">
        <v>15915</v>
      </c>
      <c r="J59" s="17">
        <v>7.0000000000000007E-2</v>
      </c>
      <c r="K59" s="31"/>
      <c r="L59" s="31" t="str">
        <f>IF(sales[[#This Row],[Target]]&gt;25000,"MET TARGET","BELOW TARGET")</f>
        <v>BELOW TARGET</v>
      </c>
      <c r="M59" s="31" t="str">
        <f>IF(sales[[#This Row],[Units_Sold]]&gt;100,"500","0")</f>
        <v>0</v>
      </c>
      <c r="N59" s="31" t="str">
        <f>RIGHT(sales[[#This Row],[Emp_ID]],4)</f>
        <v>1058</v>
      </c>
      <c r="O59" s="45" t="str">
        <f>UPPER(sales[[#This Row],[Department]])</f>
        <v>CLOTHING</v>
      </c>
      <c r="P59" s="45" t="str">
        <f>LOWER(sales[[#This Row],[Department]])&amp;"@company.com"</f>
        <v>clothing@company.com</v>
      </c>
    </row>
    <row r="60" spans="1:16" x14ac:dyDescent="0.3">
      <c r="A60" s="15" t="s">
        <v>198</v>
      </c>
      <c r="B60" s="1" t="s">
        <v>59</v>
      </c>
      <c r="C60" s="1" t="s">
        <v>23</v>
      </c>
      <c r="D60" s="1" t="s">
        <v>24</v>
      </c>
      <c r="E60" s="1" t="s">
        <v>32</v>
      </c>
      <c r="F60" s="1">
        <v>76</v>
      </c>
      <c r="G60" s="7">
        <v>433.53</v>
      </c>
      <c r="H60" s="10">
        <f t="shared" si="1"/>
        <v>32948.28</v>
      </c>
      <c r="I60" s="10">
        <v>19292</v>
      </c>
      <c r="J60" s="16">
        <v>0.08</v>
      </c>
      <c r="K60" s="31"/>
      <c r="L60" s="31" t="str">
        <f>IF(sales[[#This Row],[Target]]&gt;25000,"MET TARGET","BELOW TARGET")</f>
        <v>BELOW TARGET</v>
      </c>
      <c r="M60" s="31" t="str">
        <f>IF(sales[[#This Row],[Units_Sold]]&gt;100,"500","0")</f>
        <v>0</v>
      </c>
      <c r="N60" s="31" t="str">
        <f>RIGHT(sales[[#This Row],[Emp_ID]],4)</f>
        <v>1059</v>
      </c>
      <c r="O60" s="45" t="str">
        <f>UPPER(sales[[#This Row],[Department]])</f>
        <v>CLOTHING</v>
      </c>
      <c r="P60" s="45" t="str">
        <f>LOWER(sales[[#This Row],[Department]])&amp;"@company.com"</f>
        <v>clothing@company.com</v>
      </c>
    </row>
    <row r="61" spans="1:16" x14ac:dyDescent="0.3">
      <c r="A61" s="15" t="s">
        <v>199</v>
      </c>
      <c r="B61" s="2" t="s">
        <v>11</v>
      </c>
      <c r="C61" s="2" t="s">
        <v>15</v>
      </c>
      <c r="D61" s="2" t="s">
        <v>24</v>
      </c>
      <c r="E61" s="2" t="s">
        <v>47</v>
      </c>
      <c r="F61" s="2">
        <v>142</v>
      </c>
      <c r="G61" s="8">
        <v>172.26</v>
      </c>
      <c r="H61" s="11">
        <f t="shared" si="1"/>
        <v>24460.92</v>
      </c>
      <c r="I61" s="11">
        <v>2808</v>
      </c>
      <c r="J61" s="17">
        <v>0.05</v>
      </c>
      <c r="K61" s="31"/>
      <c r="L61" s="31" t="str">
        <f>IF(sales[[#This Row],[Target]]&gt;25000,"MET TARGET","BELOW TARGET")</f>
        <v>BELOW TARGET</v>
      </c>
      <c r="M61" s="31" t="str">
        <f>IF(sales[[#This Row],[Units_Sold]]&gt;100,"500","0")</f>
        <v>500</v>
      </c>
      <c r="N61" s="31" t="str">
        <f>RIGHT(sales[[#This Row],[Emp_ID]],4)</f>
        <v>1060</v>
      </c>
      <c r="O61" s="45" t="str">
        <f>UPPER(sales[[#This Row],[Department]])</f>
        <v>GROCERY</v>
      </c>
      <c r="P61" s="45" t="str">
        <f>LOWER(sales[[#This Row],[Department]])&amp;"@company.com"</f>
        <v>grocery@company.com</v>
      </c>
    </row>
    <row r="62" spans="1:16" x14ac:dyDescent="0.3">
      <c r="A62" s="15" t="s">
        <v>200</v>
      </c>
      <c r="B62" s="1" t="s">
        <v>37</v>
      </c>
      <c r="C62" s="1" t="s">
        <v>38</v>
      </c>
      <c r="D62" s="1" t="s">
        <v>46</v>
      </c>
      <c r="E62" s="1" t="s">
        <v>16</v>
      </c>
      <c r="F62" s="1">
        <v>72</v>
      </c>
      <c r="G62" s="7">
        <v>28.75</v>
      </c>
      <c r="H62" s="10">
        <f t="shared" si="1"/>
        <v>2070</v>
      </c>
      <c r="I62" s="10">
        <v>40096</v>
      </c>
      <c r="J62" s="16">
        <v>0.1</v>
      </c>
      <c r="K62" s="31"/>
      <c r="L62" s="31" t="str">
        <f>IF(sales[[#This Row],[Target]]&gt;25000,"MET TARGET","BELOW TARGET")</f>
        <v>MET TARGET</v>
      </c>
      <c r="M62" s="31" t="str">
        <f>IF(sales[[#This Row],[Units_Sold]]&gt;100,"500","0")</f>
        <v>0</v>
      </c>
      <c r="N62" s="31" t="str">
        <f>RIGHT(sales[[#This Row],[Emp_ID]],4)</f>
        <v>1061</v>
      </c>
      <c r="O62" s="45" t="str">
        <f>UPPER(sales[[#This Row],[Department]])</f>
        <v>FURNITURE</v>
      </c>
      <c r="P62" s="45" t="str">
        <f>LOWER(sales[[#This Row],[Department]])&amp;"@company.com"</f>
        <v>furniture@company.com</v>
      </c>
    </row>
    <row r="63" spans="1:16" x14ac:dyDescent="0.3">
      <c r="A63" s="15" t="s">
        <v>201</v>
      </c>
      <c r="B63" s="2" t="s">
        <v>52</v>
      </c>
      <c r="C63" s="2" t="s">
        <v>38</v>
      </c>
      <c r="D63" s="2" t="s">
        <v>24</v>
      </c>
      <c r="E63" s="2" t="s">
        <v>16</v>
      </c>
      <c r="F63" s="2">
        <v>135</v>
      </c>
      <c r="G63" s="8">
        <v>66.67</v>
      </c>
      <c r="H63" s="11">
        <f t="shared" si="1"/>
        <v>9000.4500000000007</v>
      </c>
      <c r="I63" s="11">
        <v>38787</v>
      </c>
      <c r="J63" s="17">
        <v>7.0000000000000007E-2</v>
      </c>
      <c r="K63" s="31"/>
      <c r="L63" s="31" t="str">
        <f>IF(sales[[#This Row],[Target]]&gt;25000,"MET TARGET","BELOW TARGET")</f>
        <v>MET TARGET</v>
      </c>
      <c r="M63" s="31" t="str">
        <f>IF(sales[[#This Row],[Units_Sold]]&gt;100,"500","0")</f>
        <v>500</v>
      </c>
      <c r="N63" s="31" t="str">
        <f>RIGHT(sales[[#This Row],[Emp_ID]],4)</f>
        <v>1062</v>
      </c>
      <c r="O63" s="45" t="str">
        <f>UPPER(sales[[#This Row],[Department]])</f>
        <v>FURNITURE</v>
      </c>
      <c r="P63" s="45" t="str">
        <f>LOWER(sales[[#This Row],[Department]])&amp;"@company.com"</f>
        <v>furniture@company.com</v>
      </c>
    </row>
    <row r="64" spans="1:16" x14ac:dyDescent="0.3">
      <c r="A64" s="15" t="s">
        <v>202</v>
      </c>
      <c r="B64" s="1" t="s">
        <v>61</v>
      </c>
      <c r="C64" s="1" t="s">
        <v>12</v>
      </c>
      <c r="D64" s="1" t="s">
        <v>24</v>
      </c>
      <c r="E64" s="1" t="s">
        <v>20</v>
      </c>
      <c r="F64" s="1">
        <v>138</v>
      </c>
      <c r="G64" s="7">
        <v>463.53</v>
      </c>
      <c r="H64" s="10">
        <f t="shared" si="1"/>
        <v>63967.14</v>
      </c>
      <c r="I64" s="10">
        <v>36287</v>
      </c>
      <c r="J64" s="16">
        <v>7.0000000000000007E-2</v>
      </c>
      <c r="K64" s="31"/>
      <c r="L64" s="31" t="str">
        <f>IF(sales[[#This Row],[Target]]&gt;25000,"MET TARGET","BELOW TARGET")</f>
        <v>MET TARGET</v>
      </c>
      <c r="M64" s="31" t="str">
        <f>IF(sales[[#This Row],[Units_Sold]]&gt;100,"500","0")</f>
        <v>500</v>
      </c>
      <c r="N64" s="31" t="str">
        <f>RIGHT(sales[[#This Row],[Emp_ID]],4)</f>
        <v>1063</v>
      </c>
      <c r="O64" s="45" t="str">
        <f>UPPER(sales[[#This Row],[Department]])</f>
        <v>ELECTRONICS</v>
      </c>
      <c r="P64" s="45" t="str">
        <f>LOWER(sales[[#This Row],[Department]])&amp;"@company.com"</f>
        <v>electronics@company.com</v>
      </c>
    </row>
    <row r="65" spans="1:16" x14ac:dyDescent="0.3">
      <c r="A65" s="15" t="s">
        <v>203</v>
      </c>
      <c r="B65" s="2" t="s">
        <v>52</v>
      </c>
      <c r="C65" s="2" t="s">
        <v>27</v>
      </c>
      <c r="D65" s="2" t="s">
        <v>13</v>
      </c>
      <c r="E65" s="2" t="s">
        <v>47</v>
      </c>
      <c r="F65" s="2">
        <v>89</v>
      </c>
      <c r="G65" s="8">
        <v>315.35000000000002</v>
      </c>
      <c r="H65" s="11">
        <f t="shared" si="1"/>
        <v>28066.15</v>
      </c>
      <c r="I65" s="11">
        <v>44475</v>
      </c>
      <c r="J65" s="17">
        <v>0.05</v>
      </c>
      <c r="K65" s="31"/>
      <c r="L65" s="31" t="str">
        <f>IF(sales[[#This Row],[Target]]&gt;25000,"MET TARGET","BELOW TARGET")</f>
        <v>MET TARGET</v>
      </c>
      <c r="M65" s="31" t="str">
        <f>IF(sales[[#This Row],[Units_Sold]]&gt;100,"500","0")</f>
        <v>0</v>
      </c>
      <c r="N65" s="31" t="str">
        <f>RIGHT(sales[[#This Row],[Emp_ID]],4)</f>
        <v>1064</v>
      </c>
      <c r="O65" s="45" t="str">
        <f>UPPER(sales[[#This Row],[Department]])</f>
        <v>SPORTS</v>
      </c>
      <c r="P65" s="45" t="str">
        <f>LOWER(sales[[#This Row],[Department]])&amp;"@company.com"</f>
        <v>sports@company.com</v>
      </c>
    </row>
    <row r="66" spans="1:16" x14ac:dyDescent="0.3">
      <c r="A66" s="15" t="s">
        <v>204</v>
      </c>
      <c r="B66" s="1" t="s">
        <v>26</v>
      </c>
      <c r="C66" s="1" t="s">
        <v>38</v>
      </c>
      <c r="D66" s="1" t="s">
        <v>19</v>
      </c>
      <c r="E66" s="1" t="s">
        <v>29</v>
      </c>
      <c r="F66" s="1">
        <v>175</v>
      </c>
      <c r="G66" s="7">
        <v>210.11</v>
      </c>
      <c r="H66" s="10">
        <f t="shared" ref="H66:H97" si="2">F66*G66</f>
        <v>36769.25</v>
      </c>
      <c r="I66" s="10">
        <v>27371</v>
      </c>
      <c r="J66" s="16">
        <v>0.08</v>
      </c>
      <c r="K66" s="31"/>
      <c r="L66" s="31" t="str">
        <f>IF(sales[[#This Row],[Target]]&gt;25000,"MET TARGET","BELOW TARGET")</f>
        <v>MET TARGET</v>
      </c>
      <c r="M66" s="31" t="str">
        <f>IF(sales[[#This Row],[Units_Sold]]&gt;100,"500","0")</f>
        <v>500</v>
      </c>
      <c r="N66" s="31" t="str">
        <f>RIGHT(sales[[#This Row],[Emp_ID]],4)</f>
        <v>1065</v>
      </c>
      <c r="O66" s="45" t="str">
        <f>UPPER(sales[[#This Row],[Department]])</f>
        <v>FURNITURE</v>
      </c>
      <c r="P66" s="45" t="str">
        <f>LOWER(sales[[#This Row],[Department]])&amp;"@company.com"</f>
        <v>furniture@company.com</v>
      </c>
    </row>
    <row r="67" spans="1:16" x14ac:dyDescent="0.3">
      <c r="A67" s="15" t="s">
        <v>205</v>
      </c>
      <c r="B67" s="2" t="s">
        <v>34</v>
      </c>
      <c r="C67" s="2" t="s">
        <v>23</v>
      </c>
      <c r="D67" s="2" t="s">
        <v>46</v>
      </c>
      <c r="E67" s="2" t="s">
        <v>50</v>
      </c>
      <c r="F67" s="2">
        <v>175</v>
      </c>
      <c r="G67" s="8">
        <v>470.78</v>
      </c>
      <c r="H67" s="11">
        <f t="shared" si="2"/>
        <v>82386.5</v>
      </c>
      <c r="I67" s="11">
        <v>45388</v>
      </c>
      <c r="J67" s="17">
        <v>7.0000000000000007E-2</v>
      </c>
      <c r="K67" s="31"/>
      <c r="L67" s="31" t="str">
        <f>IF(sales[[#This Row],[Target]]&gt;25000,"MET TARGET","BELOW TARGET")</f>
        <v>MET TARGET</v>
      </c>
      <c r="M67" s="31" t="str">
        <f>IF(sales[[#This Row],[Units_Sold]]&gt;100,"500","0")</f>
        <v>500</v>
      </c>
      <c r="N67" s="31" t="str">
        <f>RIGHT(sales[[#This Row],[Emp_ID]],4)</f>
        <v>1066</v>
      </c>
      <c r="O67" s="45" t="str">
        <f>UPPER(sales[[#This Row],[Department]])</f>
        <v>CLOTHING</v>
      </c>
      <c r="P67" s="45" t="str">
        <f>LOWER(sales[[#This Row],[Department]])&amp;"@company.com"</f>
        <v>clothing@company.com</v>
      </c>
    </row>
    <row r="68" spans="1:16" x14ac:dyDescent="0.3">
      <c r="A68" s="15" t="s">
        <v>206</v>
      </c>
      <c r="B68" s="1" t="s">
        <v>45</v>
      </c>
      <c r="C68" s="1" t="s">
        <v>15</v>
      </c>
      <c r="D68" s="1" t="s">
        <v>28</v>
      </c>
      <c r="E68" s="1" t="s">
        <v>50</v>
      </c>
      <c r="F68" s="1">
        <v>145</v>
      </c>
      <c r="G68" s="7">
        <v>418.53</v>
      </c>
      <c r="H68" s="10">
        <f t="shared" si="2"/>
        <v>60686.85</v>
      </c>
      <c r="I68" s="10">
        <v>20914</v>
      </c>
      <c r="J68" s="16">
        <v>0.08</v>
      </c>
      <c r="K68" s="31"/>
      <c r="L68" s="31" t="str">
        <f>IF(sales[[#This Row],[Target]]&gt;25000,"MET TARGET","BELOW TARGET")</f>
        <v>BELOW TARGET</v>
      </c>
      <c r="M68" s="31" t="str">
        <f>IF(sales[[#This Row],[Units_Sold]]&gt;100,"500","0")</f>
        <v>500</v>
      </c>
      <c r="N68" s="31" t="str">
        <f>RIGHT(sales[[#This Row],[Emp_ID]],4)</f>
        <v>1067</v>
      </c>
      <c r="O68" s="45" t="str">
        <f>UPPER(sales[[#This Row],[Department]])</f>
        <v>GROCERY</v>
      </c>
      <c r="P68" s="45" t="str">
        <f>LOWER(sales[[#This Row],[Department]])&amp;"@company.com"</f>
        <v>grocery@company.com</v>
      </c>
    </row>
    <row r="69" spans="1:16" x14ac:dyDescent="0.3">
      <c r="A69" s="15" t="s">
        <v>207</v>
      </c>
      <c r="B69" s="2" t="s">
        <v>18</v>
      </c>
      <c r="C69" s="2" t="s">
        <v>27</v>
      </c>
      <c r="D69" s="2" t="s">
        <v>19</v>
      </c>
      <c r="E69" s="2" t="s">
        <v>16</v>
      </c>
      <c r="F69" s="2">
        <v>172</v>
      </c>
      <c r="G69" s="8">
        <v>167.9</v>
      </c>
      <c r="H69" s="11">
        <f t="shared" si="2"/>
        <v>28878.799999999999</v>
      </c>
      <c r="I69" s="11">
        <v>29952</v>
      </c>
      <c r="J69" s="17">
        <v>0.1</v>
      </c>
      <c r="K69" s="31"/>
      <c r="L69" s="31" t="str">
        <f>IF(sales[[#This Row],[Target]]&gt;25000,"MET TARGET","BELOW TARGET")</f>
        <v>MET TARGET</v>
      </c>
      <c r="M69" s="31" t="str">
        <f>IF(sales[[#This Row],[Units_Sold]]&gt;100,"500","0")</f>
        <v>500</v>
      </c>
      <c r="N69" s="31" t="str">
        <f>RIGHT(sales[[#This Row],[Emp_ID]],4)</f>
        <v>1068</v>
      </c>
      <c r="O69" s="45" t="str">
        <f>UPPER(sales[[#This Row],[Department]])</f>
        <v>SPORTS</v>
      </c>
      <c r="P69" s="45" t="str">
        <f>LOWER(sales[[#This Row],[Department]])&amp;"@company.com"</f>
        <v>sports@company.com</v>
      </c>
    </row>
    <row r="70" spans="1:16" x14ac:dyDescent="0.3">
      <c r="A70" s="15" t="s">
        <v>208</v>
      </c>
      <c r="B70" s="1" t="s">
        <v>11</v>
      </c>
      <c r="C70" s="1" t="s">
        <v>23</v>
      </c>
      <c r="D70" s="1" t="s">
        <v>19</v>
      </c>
      <c r="E70" s="1" t="s">
        <v>55</v>
      </c>
      <c r="F70" s="1">
        <v>193</v>
      </c>
      <c r="G70" s="7">
        <v>93.15</v>
      </c>
      <c r="H70" s="10">
        <f t="shared" si="2"/>
        <v>17977.95</v>
      </c>
      <c r="I70" s="10">
        <v>6557</v>
      </c>
      <c r="J70" s="16">
        <v>0.08</v>
      </c>
      <c r="K70" s="31"/>
      <c r="L70" s="31" t="str">
        <f>IF(sales[[#This Row],[Target]]&gt;25000,"MET TARGET","BELOW TARGET")</f>
        <v>BELOW TARGET</v>
      </c>
      <c r="M70" s="31" t="str">
        <f>IF(sales[[#This Row],[Units_Sold]]&gt;100,"500","0")</f>
        <v>500</v>
      </c>
      <c r="N70" s="31" t="str">
        <f>RIGHT(sales[[#This Row],[Emp_ID]],4)</f>
        <v>1069</v>
      </c>
      <c r="O70" s="45" t="str">
        <f>UPPER(sales[[#This Row],[Department]])</f>
        <v>CLOTHING</v>
      </c>
      <c r="P70" s="45" t="str">
        <f>LOWER(sales[[#This Row],[Department]])&amp;"@company.com"</f>
        <v>clothing@company.com</v>
      </c>
    </row>
    <row r="71" spans="1:16" x14ac:dyDescent="0.3">
      <c r="A71" s="15" t="s">
        <v>209</v>
      </c>
      <c r="B71" s="2" t="s">
        <v>34</v>
      </c>
      <c r="C71" s="2" t="s">
        <v>15</v>
      </c>
      <c r="D71" s="2" t="s">
        <v>28</v>
      </c>
      <c r="E71" s="2" t="s">
        <v>35</v>
      </c>
      <c r="F71" s="2">
        <v>197</v>
      </c>
      <c r="G71" s="8">
        <v>125.09</v>
      </c>
      <c r="H71" s="11">
        <f t="shared" si="2"/>
        <v>24642.73</v>
      </c>
      <c r="I71" s="11">
        <v>21343</v>
      </c>
      <c r="J71" s="17">
        <v>7.0000000000000007E-2</v>
      </c>
      <c r="K71" s="31"/>
      <c r="L71" s="31" t="str">
        <f>IF(sales[[#This Row],[Target]]&gt;25000,"MET TARGET","BELOW TARGET")</f>
        <v>BELOW TARGET</v>
      </c>
      <c r="M71" s="31" t="str">
        <f>IF(sales[[#This Row],[Units_Sold]]&gt;100,"500","0")</f>
        <v>500</v>
      </c>
      <c r="N71" s="31" t="str">
        <f>RIGHT(sales[[#This Row],[Emp_ID]],4)</f>
        <v>1070</v>
      </c>
      <c r="O71" s="45" t="str">
        <f>UPPER(sales[[#This Row],[Department]])</f>
        <v>GROCERY</v>
      </c>
      <c r="P71" s="45" t="str">
        <f>LOWER(sales[[#This Row],[Department]])&amp;"@company.com"</f>
        <v>grocery@company.com</v>
      </c>
    </row>
    <row r="72" spans="1:16" x14ac:dyDescent="0.3">
      <c r="A72" s="15" t="s">
        <v>210</v>
      </c>
      <c r="B72" s="1" t="s">
        <v>41</v>
      </c>
      <c r="C72" s="1" t="s">
        <v>23</v>
      </c>
      <c r="D72" s="1" t="s">
        <v>46</v>
      </c>
      <c r="E72" s="1" t="s">
        <v>20</v>
      </c>
      <c r="F72" s="1">
        <v>16</v>
      </c>
      <c r="G72" s="7">
        <v>129.97</v>
      </c>
      <c r="H72" s="10">
        <f t="shared" si="2"/>
        <v>2079.52</v>
      </c>
      <c r="I72" s="10">
        <v>32138</v>
      </c>
      <c r="J72" s="16">
        <v>0.12</v>
      </c>
      <c r="K72" s="31"/>
      <c r="L72" s="31" t="str">
        <f>IF(sales[[#This Row],[Target]]&gt;25000,"MET TARGET","BELOW TARGET")</f>
        <v>MET TARGET</v>
      </c>
      <c r="M72" s="31" t="str">
        <f>IF(sales[[#This Row],[Units_Sold]]&gt;100,"500","0")</f>
        <v>0</v>
      </c>
      <c r="N72" s="31" t="str">
        <f>RIGHT(sales[[#This Row],[Emp_ID]],4)</f>
        <v>1071</v>
      </c>
      <c r="O72" s="45" t="str">
        <f>UPPER(sales[[#This Row],[Department]])</f>
        <v>CLOTHING</v>
      </c>
      <c r="P72" s="45" t="str">
        <f>LOWER(sales[[#This Row],[Department]])&amp;"@company.com"</f>
        <v>clothing@company.com</v>
      </c>
    </row>
    <row r="73" spans="1:16" x14ac:dyDescent="0.3">
      <c r="A73" s="15" t="s">
        <v>211</v>
      </c>
      <c r="B73" s="2" t="s">
        <v>49</v>
      </c>
      <c r="C73" s="2" t="s">
        <v>12</v>
      </c>
      <c r="D73" s="2" t="s">
        <v>24</v>
      </c>
      <c r="E73" s="2" t="s">
        <v>50</v>
      </c>
      <c r="F73" s="2">
        <v>166</v>
      </c>
      <c r="G73" s="8">
        <v>292.08</v>
      </c>
      <c r="H73" s="11">
        <f t="shared" si="2"/>
        <v>48485.279999999999</v>
      </c>
      <c r="I73" s="11">
        <v>48077</v>
      </c>
      <c r="J73" s="17">
        <v>0.1</v>
      </c>
      <c r="K73" s="31"/>
      <c r="L73" s="31" t="str">
        <f>IF(sales[[#This Row],[Target]]&gt;25000,"MET TARGET","BELOW TARGET")</f>
        <v>MET TARGET</v>
      </c>
      <c r="M73" s="31" t="str">
        <f>IF(sales[[#This Row],[Units_Sold]]&gt;100,"500","0")</f>
        <v>500</v>
      </c>
      <c r="N73" s="31" t="str">
        <f>RIGHT(sales[[#This Row],[Emp_ID]],4)</f>
        <v>1072</v>
      </c>
      <c r="O73" s="45" t="str">
        <f>UPPER(sales[[#This Row],[Department]])</f>
        <v>ELECTRONICS</v>
      </c>
      <c r="P73" s="45" t="str">
        <f>LOWER(sales[[#This Row],[Department]])&amp;"@company.com"</f>
        <v>electronics@company.com</v>
      </c>
    </row>
    <row r="74" spans="1:16" x14ac:dyDescent="0.3">
      <c r="A74" s="15" t="s">
        <v>212</v>
      </c>
      <c r="B74" s="1" t="s">
        <v>57</v>
      </c>
      <c r="C74" s="1" t="s">
        <v>27</v>
      </c>
      <c r="D74" s="1" t="s">
        <v>46</v>
      </c>
      <c r="E74" s="1" t="s">
        <v>54</v>
      </c>
      <c r="F74" s="1">
        <v>172</v>
      </c>
      <c r="G74" s="7">
        <v>346.93</v>
      </c>
      <c r="H74" s="10">
        <f t="shared" si="2"/>
        <v>59671.96</v>
      </c>
      <c r="I74" s="10">
        <v>7985</v>
      </c>
      <c r="J74" s="16">
        <v>0.1</v>
      </c>
      <c r="K74" s="31"/>
      <c r="L74" s="31" t="str">
        <f>IF(sales[[#This Row],[Target]]&gt;25000,"MET TARGET","BELOW TARGET")</f>
        <v>BELOW TARGET</v>
      </c>
      <c r="M74" s="31" t="str">
        <f>IF(sales[[#This Row],[Units_Sold]]&gt;100,"500","0")</f>
        <v>500</v>
      </c>
      <c r="N74" s="31" t="str">
        <f>RIGHT(sales[[#This Row],[Emp_ID]],4)</f>
        <v>1073</v>
      </c>
      <c r="O74" s="45" t="str">
        <f>UPPER(sales[[#This Row],[Department]])</f>
        <v>SPORTS</v>
      </c>
      <c r="P74" s="45" t="str">
        <f>LOWER(sales[[#This Row],[Department]])&amp;"@company.com"</f>
        <v>sports@company.com</v>
      </c>
    </row>
    <row r="75" spans="1:16" x14ac:dyDescent="0.3">
      <c r="A75" s="15" t="s">
        <v>213</v>
      </c>
      <c r="B75" s="2" t="s">
        <v>18</v>
      </c>
      <c r="C75" s="2" t="s">
        <v>23</v>
      </c>
      <c r="D75" s="2" t="s">
        <v>19</v>
      </c>
      <c r="E75" s="2" t="s">
        <v>55</v>
      </c>
      <c r="F75" s="2">
        <v>17</v>
      </c>
      <c r="G75" s="8">
        <v>283.13</v>
      </c>
      <c r="H75" s="11">
        <f t="shared" si="2"/>
        <v>4813.21</v>
      </c>
      <c r="I75" s="11">
        <v>8953</v>
      </c>
      <c r="J75" s="17">
        <v>0.1</v>
      </c>
      <c r="K75" s="31"/>
      <c r="L75" s="31" t="str">
        <f>IF(sales[[#This Row],[Target]]&gt;25000,"MET TARGET","BELOW TARGET")</f>
        <v>BELOW TARGET</v>
      </c>
      <c r="M75" s="31" t="str">
        <f>IF(sales[[#This Row],[Units_Sold]]&gt;100,"500","0")</f>
        <v>0</v>
      </c>
      <c r="N75" s="31" t="str">
        <f>RIGHT(sales[[#This Row],[Emp_ID]],4)</f>
        <v>1074</v>
      </c>
      <c r="O75" s="45" t="str">
        <f>UPPER(sales[[#This Row],[Department]])</f>
        <v>CLOTHING</v>
      </c>
      <c r="P75" s="45" t="str">
        <f>LOWER(sales[[#This Row],[Department]])&amp;"@company.com"</f>
        <v>clothing@company.com</v>
      </c>
    </row>
    <row r="76" spans="1:16" x14ac:dyDescent="0.3">
      <c r="A76" s="15" t="s">
        <v>214</v>
      </c>
      <c r="B76" s="1" t="s">
        <v>43</v>
      </c>
      <c r="C76" s="1" t="s">
        <v>27</v>
      </c>
      <c r="D76" s="1" t="s">
        <v>19</v>
      </c>
      <c r="E76" s="1" t="s">
        <v>53</v>
      </c>
      <c r="F76" s="1">
        <v>157</v>
      </c>
      <c r="G76" s="7">
        <v>165.48</v>
      </c>
      <c r="H76" s="10">
        <f t="shared" si="2"/>
        <v>25980.359999999997</v>
      </c>
      <c r="I76" s="10">
        <v>30004</v>
      </c>
      <c r="J76" s="16">
        <v>0.12</v>
      </c>
      <c r="K76" s="31"/>
      <c r="L76" s="31" t="str">
        <f>IF(sales[[#This Row],[Target]]&gt;25000,"MET TARGET","BELOW TARGET")</f>
        <v>MET TARGET</v>
      </c>
      <c r="M76" s="31" t="str">
        <f>IF(sales[[#This Row],[Units_Sold]]&gt;100,"500","0")</f>
        <v>500</v>
      </c>
      <c r="N76" s="31" t="str">
        <f>RIGHT(sales[[#This Row],[Emp_ID]],4)</f>
        <v>1075</v>
      </c>
      <c r="O76" s="45" t="str">
        <f>UPPER(sales[[#This Row],[Department]])</f>
        <v>SPORTS</v>
      </c>
      <c r="P76" s="45" t="str">
        <f>LOWER(sales[[#This Row],[Department]])&amp;"@company.com"</f>
        <v>sports@company.com</v>
      </c>
    </row>
    <row r="77" spans="1:16" x14ac:dyDescent="0.3">
      <c r="A77" s="15" t="s">
        <v>215</v>
      </c>
      <c r="B77" s="2" t="s">
        <v>49</v>
      </c>
      <c r="C77" s="2" t="s">
        <v>15</v>
      </c>
      <c r="D77" s="2" t="s">
        <v>24</v>
      </c>
      <c r="E77" s="2" t="s">
        <v>53</v>
      </c>
      <c r="F77" s="2">
        <v>119</v>
      </c>
      <c r="G77" s="8">
        <v>449.63</v>
      </c>
      <c r="H77" s="11">
        <f t="shared" si="2"/>
        <v>53505.97</v>
      </c>
      <c r="I77" s="11">
        <v>49736</v>
      </c>
      <c r="J77" s="17">
        <v>0.1</v>
      </c>
      <c r="K77" s="31"/>
      <c r="L77" s="31" t="str">
        <f>IF(sales[[#This Row],[Target]]&gt;25000,"MET TARGET","BELOW TARGET")</f>
        <v>MET TARGET</v>
      </c>
      <c r="M77" s="31" t="str">
        <f>IF(sales[[#This Row],[Units_Sold]]&gt;100,"500","0")</f>
        <v>500</v>
      </c>
      <c r="N77" s="31" t="str">
        <f>RIGHT(sales[[#This Row],[Emp_ID]],4)</f>
        <v>1076</v>
      </c>
      <c r="O77" s="45" t="str">
        <f>UPPER(sales[[#This Row],[Department]])</f>
        <v>GROCERY</v>
      </c>
      <c r="P77" s="45" t="str">
        <f>LOWER(sales[[#This Row],[Department]])&amp;"@company.com"</f>
        <v>grocery@company.com</v>
      </c>
    </row>
    <row r="78" spans="1:16" x14ac:dyDescent="0.3">
      <c r="A78" s="15" t="s">
        <v>216</v>
      </c>
      <c r="B78" s="1" t="s">
        <v>57</v>
      </c>
      <c r="C78" s="1" t="s">
        <v>38</v>
      </c>
      <c r="D78" s="1" t="s">
        <v>46</v>
      </c>
      <c r="E78" s="1" t="s">
        <v>47</v>
      </c>
      <c r="F78" s="1">
        <v>75</v>
      </c>
      <c r="G78" s="7">
        <v>385.25</v>
      </c>
      <c r="H78" s="10">
        <f t="shared" si="2"/>
        <v>28893.75</v>
      </c>
      <c r="I78" s="10">
        <v>35163</v>
      </c>
      <c r="J78" s="16">
        <v>0.1</v>
      </c>
      <c r="K78" s="31"/>
      <c r="L78" s="31" t="str">
        <f>IF(sales[[#This Row],[Target]]&gt;25000,"MET TARGET","BELOW TARGET")</f>
        <v>MET TARGET</v>
      </c>
      <c r="M78" s="31" t="str">
        <f>IF(sales[[#This Row],[Units_Sold]]&gt;100,"500","0")</f>
        <v>0</v>
      </c>
      <c r="N78" s="31" t="str">
        <f>RIGHT(sales[[#This Row],[Emp_ID]],4)</f>
        <v>1077</v>
      </c>
      <c r="O78" s="45" t="str">
        <f>UPPER(sales[[#This Row],[Department]])</f>
        <v>FURNITURE</v>
      </c>
      <c r="P78" s="45" t="str">
        <f>LOWER(sales[[#This Row],[Department]])&amp;"@company.com"</f>
        <v>furniture@company.com</v>
      </c>
    </row>
    <row r="79" spans="1:16" x14ac:dyDescent="0.3">
      <c r="A79" s="15" t="s">
        <v>217</v>
      </c>
      <c r="B79" s="2" t="s">
        <v>11</v>
      </c>
      <c r="C79" s="2" t="s">
        <v>23</v>
      </c>
      <c r="D79" s="2" t="s">
        <v>28</v>
      </c>
      <c r="E79" s="2" t="s">
        <v>55</v>
      </c>
      <c r="F79" s="2">
        <v>24</v>
      </c>
      <c r="G79" s="8">
        <v>359.64</v>
      </c>
      <c r="H79" s="11">
        <f t="shared" si="2"/>
        <v>8631.36</v>
      </c>
      <c r="I79" s="11">
        <v>16367</v>
      </c>
      <c r="J79" s="17">
        <v>0.08</v>
      </c>
      <c r="K79" s="31"/>
      <c r="L79" s="31" t="str">
        <f>IF(sales[[#This Row],[Target]]&gt;25000,"MET TARGET","BELOW TARGET")</f>
        <v>BELOW TARGET</v>
      </c>
      <c r="M79" s="31" t="str">
        <f>IF(sales[[#This Row],[Units_Sold]]&gt;100,"500","0")</f>
        <v>0</v>
      </c>
      <c r="N79" s="31" t="str">
        <f>RIGHT(sales[[#This Row],[Emp_ID]],4)</f>
        <v>1078</v>
      </c>
      <c r="O79" s="45" t="str">
        <f>UPPER(sales[[#This Row],[Department]])</f>
        <v>CLOTHING</v>
      </c>
      <c r="P79" s="45" t="str">
        <f>LOWER(sales[[#This Row],[Department]])&amp;"@company.com"</f>
        <v>clothing@company.com</v>
      </c>
    </row>
    <row r="80" spans="1:16" x14ac:dyDescent="0.3">
      <c r="A80" s="15" t="s">
        <v>218</v>
      </c>
      <c r="B80" s="1" t="s">
        <v>52</v>
      </c>
      <c r="C80" s="1" t="s">
        <v>38</v>
      </c>
      <c r="D80" s="1" t="s">
        <v>19</v>
      </c>
      <c r="E80" s="1" t="s">
        <v>35</v>
      </c>
      <c r="F80" s="1">
        <v>40</v>
      </c>
      <c r="G80" s="7">
        <v>83.91</v>
      </c>
      <c r="H80" s="10">
        <f t="shared" si="2"/>
        <v>3356.3999999999996</v>
      </c>
      <c r="I80" s="10">
        <v>26102</v>
      </c>
      <c r="J80" s="16">
        <v>7.0000000000000007E-2</v>
      </c>
      <c r="K80" s="31"/>
      <c r="L80" s="31" t="str">
        <f>IF(sales[[#This Row],[Target]]&gt;25000,"MET TARGET","BELOW TARGET")</f>
        <v>MET TARGET</v>
      </c>
      <c r="M80" s="31" t="str">
        <f>IF(sales[[#This Row],[Units_Sold]]&gt;100,"500","0")</f>
        <v>0</v>
      </c>
      <c r="N80" s="31" t="str">
        <f>RIGHT(sales[[#This Row],[Emp_ID]],4)</f>
        <v>1079</v>
      </c>
      <c r="O80" s="45" t="str">
        <f>UPPER(sales[[#This Row],[Department]])</f>
        <v>FURNITURE</v>
      </c>
      <c r="P80" s="45" t="str">
        <f>LOWER(sales[[#This Row],[Department]])&amp;"@company.com"</f>
        <v>furniture@company.com</v>
      </c>
    </row>
    <row r="81" spans="1:16" x14ac:dyDescent="0.3">
      <c r="A81" s="15" t="s">
        <v>219</v>
      </c>
      <c r="B81" s="2" t="s">
        <v>26</v>
      </c>
      <c r="C81" s="2" t="s">
        <v>23</v>
      </c>
      <c r="D81" s="2" t="s">
        <v>13</v>
      </c>
      <c r="E81" s="2" t="s">
        <v>50</v>
      </c>
      <c r="F81" s="2">
        <v>109</v>
      </c>
      <c r="G81" s="8">
        <v>172.13</v>
      </c>
      <c r="H81" s="11">
        <f t="shared" si="2"/>
        <v>18762.169999999998</v>
      </c>
      <c r="I81" s="11">
        <v>31534</v>
      </c>
      <c r="J81" s="17">
        <v>0.1</v>
      </c>
      <c r="K81" s="31"/>
      <c r="L81" s="31" t="str">
        <f>IF(sales[[#This Row],[Target]]&gt;25000,"MET TARGET","BELOW TARGET")</f>
        <v>MET TARGET</v>
      </c>
      <c r="M81" s="31" t="str">
        <f>IF(sales[[#This Row],[Units_Sold]]&gt;100,"500","0")</f>
        <v>500</v>
      </c>
      <c r="N81" s="31" t="str">
        <f>RIGHT(sales[[#This Row],[Emp_ID]],4)</f>
        <v>1080</v>
      </c>
      <c r="O81" s="45" t="str">
        <f>UPPER(sales[[#This Row],[Department]])</f>
        <v>CLOTHING</v>
      </c>
      <c r="P81" s="45" t="str">
        <f>LOWER(sales[[#This Row],[Department]])&amp;"@company.com"</f>
        <v>clothing@company.com</v>
      </c>
    </row>
    <row r="82" spans="1:16" x14ac:dyDescent="0.3">
      <c r="A82" s="15" t="s">
        <v>220</v>
      </c>
      <c r="B82" s="1" t="s">
        <v>59</v>
      </c>
      <c r="C82" s="1" t="s">
        <v>23</v>
      </c>
      <c r="D82" s="1" t="s">
        <v>24</v>
      </c>
      <c r="E82" s="1" t="s">
        <v>50</v>
      </c>
      <c r="F82" s="1">
        <v>154</v>
      </c>
      <c r="G82" s="7">
        <v>473.57</v>
      </c>
      <c r="H82" s="10">
        <f t="shared" si="2"/>
        <v>72929.78</v>
      </c>
      <c r="I82" s="10">
        <v>2280</v>
      </c>
      <c r="J82" s="16">
        <v>0.12</v>
      </c>
      <c r="K82" s="31"/>
      <c r="L82" s="31" t="str">
        <f>IF(sales[[#This Row],[Target]]&gt;25000,"MET TARGET","BELOW TARGET")</f>
        <v>BELOW TARGET</v>
      </c>
      <c r="M82" s="31" t="str">
        <f>IF(sales[[#This Row],[Units_Sold]]&gt;100,"500","0")</f>
        <v>500</v>
      </c>
      <c r="N82" s="31" t="str">
        <f>RIGHT(sales[[#This Row],[Emp_ID]],4)</f>
        <v>1081</v>
      </c>
      <c r="O82" s="45" t="str">
        <f>UPPER(sales[[#This Row],[Department]])</f>
        <v>CLOTHING</v>
      </c>
      <c r="P82" s="45" t="str">
        <f>LOWER(sales[[#This Row],[Department]])&amp;"@company.com"</f>
        <v>clothing@company.com</v>
      </c>
    </row>
    <row r="83" spans="1:16" x14ac:dyDescent="0.3">
      <c r="A83" s="15" t="s">
        <v>221</v>
      </c>
      <c r="B83" s="2" t="s">
        <v>22</v>
      </c>
      <c r="C83" s="2" t="s">
        <v>27</v>
      </c>
      <c r="D83" s="2" t="s">
        <v>13</v>
      </c>
      <c r="E83" s="2" t="s">
        <v>32</v>
      </c>
      <c r="F83" s="2">
        <v>81</v>
      </c>
      <c r="G83" s="8">
        <v>379.2</v>
      </c>
      <c r="H83" s="11">
        <f t="shared" si="2"/>
        <v>30715.200000000001</v>
      </c>
      <c r="I83" s="11">
        <v>28460</v>
      </c>
      <c r="J83" s="17">
        <v>0.12</v>
      </c>
      <c r="K83" s="31"/>
      <c r="L83" s="31" t="str">
        <f>IF(sales[[#This Row],[Target]]&gt;25000,"MET TARGET","BELOW TARGET")</f>
        <v>MET TARGET</v>
      </c>
      <c r="M83" s="31" t="str">
        <f>IF(sales[[#This Row],[Units_Sold]]&gt;100,"500","0")</f>
        <v>0</v>
      </c>
      <c r="N83" s="31" t="str">
        <f>RIGHT(sales[[#This Row],[Emp_ID]],4)</f>
        <v>1082</v>
      </c>
      <c r="O83" s="45" t="str">
        <f>UPPER(sales[[#This Row],[Department]])</f>
        <v>SPORTS</v>
      </c>
      <c r="P83" s="45" t="str">
        <f>LOWER(sales[[#This Row],[Department]])&amp;"@company.com"</f>
        <v>sports@company.com</v>
      </c>
    </row>
    <row r="84" spans="1:16" x14ac:dyDescent="0.3">
      <c r="A84" s="15" t="s">
        <v>222</v>
      </c>
      <c r="B84" s="1" t="s">
        <v>26</v>
      </c>
      <c r="C84" s="1" t="s">
        <v>15</v>
      </c>
      <c r="D84" s="1" t="s">
        <v>19</v>
      </c>
      <c r="E84" s="1" t="s">
        <v>39</v>
      </c>
      <c r="F84" s="1">
        <v>129</v>
      </c>
      <c r="G84" s="7">
        <v>117.52</v>
      </c>
      <c r="H84" s="10">
        <f t="shared" si="2"/>
        <v>15160.08</v>
      </c>
      <c r="I84" s="10">
        <v>29562</v>
      </c>
      <c r="J84" s="16">
        <v>0.1</v>
      </c>
      <c r="K84" s="31"/>
      <c r="L84" s="31" t="str">
        <f>IF(sales[[#This Row],[Target]]&gt;25000,"MET TARGET","BELOW TARGET")</f>
        <v>MET TARGET</v>
      </c>
      <c r="M84" s="31" t="str">
        <f>IF(sales[[#This Row],[Units_Sold]]&gt;100,"500","0")</f>
        <v>500</v>
      </c>
      <c r="N84" s="31" t="str">
        <f>RIGHT(sales[[#This Row],[Emp_ID]],4)</f>
        <v>1083</v>
      </c>
      <c r="O84" s="45" t="str">
        <f>UPPER(sales[[#This Row],[Department]])</f>
        <v>GROCERY</v>
      </c>
      <c r="P84" s="45" t="str">
        <f>LOWER(sales[[#This Row],[Department]])&amp;"@company.com"</f>
        <v>grocery@company.com</v>
      </c>
    </row>
    <row r="85" spans="1:16" x14ac:dyDescent="0.3">
      <c r="A85" s="15" t="s">
        <v>223</v>
      </c>
      <c r="B85" s="2" t="s">
        <v>59</v>
      </c>
      <c r="C85" s="2" t="s">
        <v>27</v>
      </c>
      <c r="D85" s="2" t="s">
        <v>28</v>
      </c>
      <c r="E85" s="2" t="s">
        <v>47</v>
      </c>
      <c r="F85" s="2">
        <v>178</v>
      </c>
      <c r="G85" s="8">
        <v>401.09</v>
      </c>
      <c r="H85" s="11">
        <f t="shared" si="2"/>
        <v>71394.01999999999</v>
      </c>
      <c r="I85" s="11">
        <v>48459</v>
      </c>
      <c r="J85" s="17">
        <v>7.0000000000000007E-2</v>
      </c>
      <c r="K85" s="31"/>
      <c r="L85" s="31" t="str">
        <f>IF(sales[[#This Row],[Target]]&gt;25000,"MET TARGET","BELOW TARGET")</f>
        <v>MET TARGET</v>
      </c>
      <c r="M85" s="31" t="str">
        <f>IF(sales[[#This Row],[Units_Sold]]&gt;100,"500","0")</f>
        <v>500</v>
      </c>
      <c r="N85" s="31" t="str">
        <f>RIGHT(sales[[#This Row],[Emp_ID]],4)</f>
        <v>1084</v>
      </c>
      <c r="O85" s="45" t="str">
        <f>UPPER(sales[[#This Row],[Department]])</f>
        <v>SPORTS</v>
      </c>
      <c r="P85" s="45" t="str">
        <f>LOWER(sales[[#This Row],[Department]])&amp;"@company.com"</f>
        <v>sports@company.com</v>
      </c>
    </row>
    <row r="86" spans="1:16" x14ac:dyDescent="0.3">
      <c r="A86" s="15" t="s">
        <v>224</v>
      </c>
      <c r="B86" s="1" t="s">
        <v>49</v>
      </c>
      <c r="C86" s="1" t="s">
        <v>27</v>
      </c>
      <c r="D86" s="1" t="s">
        <v>46</v>
      </c>
      <c r="E86" s="1" t="s">
        <v>16</v>
      </c>
      <c r="F86" s="1">
        <v>141</v>
      </c>
      <c r="G86" s="7">
        <v>23.21</v>
      </c>
      <c r="H86" s="10">
        <f t="shared" si="2"/>
        <v>3272.61</v>
      </c>
      <c r="I86" s="10">
        <v>26822</v>
      </c>
      <c r="J86" s="16">
        <v>0.12</v>
      </c>
      <c r="K86" s="31"/>
      <c r="L86" s="31" t="str">
        <f>IF(sales[[#This Row],[Target]]&gt;25000,"MET TARGET","BELOW TARGET")</f>
        <v>MET TARGET</v>
      </c>
      <c r="M86" s="31" t="str">
        <f>IF(sales[[#This Row],[Units_Sold]]&gt;100,"500","0")</f>
        <v>500</v>
      </c>
      <c r="N86" s="31" t="str">
        <f>RIGHT(sales[[#This Row],[Emp_ID]],4)</f>
        <v>1085</v>
      </c>
      <c r="O86" s="45" t="str">
        <f>UPPER(sales[[#This Row],[Department]])</f>
        <v>SPORTS</v>
      </c>
      <c r="P86" s="45" t="str">
        <f>LOWER(sales[[#This Row],[Department]])&amp;"@company.com"</f>
        <v>sports@company.com</v>
      </c>
    </row>
    <row r="87" spans="1:16" x14ac:dyDescent="0.3">
      <c r="A87" s="15" t="s">
        <v>225</v>
      </c>
      <c r="B87" s="2" t="s">
        <v>45</v>
      </c>
      <c r="C87" s="2" t="s">
        <v>12</v>
      </c>
      <c r="D87" s="2" t="s">
        <v>13</v>
      </c>
      <c r="E87" s="2" t="s">
        <v>47</v>
      </c>
      <c r="F87" s="2">
        <v>114</v>
      </c>
      <c r="G87" s="8">
        <v>76.489999999999995</v>
      </c>
      <c r="H87" s="11">
        <f t="shared" si="2"/>
        <v>8719.8599999999988</v>
      </c>
      <c r="I87" s="11">
        <v>31257</v>
      </c>
      <c r="J87" s="17">
        <v>7.0000000000000007E-2</v>
      </c>
      <c r="K87" s="31"/>
      <c r="L87" s="31" t="str">
        <f>IF(sales[[#This Row],[Target]]&gt;25000,"MET TARGET","BELOW TARGET")</f>
        <v>MET TARGET</v>
      </c>
      <c r="M87" s="31" t="str">
        <f>IF(sales[[#This Row],[Units_Sold]]&gt;100,"500","0")</f>
        <v>500</v>
      </c>
      <c r="N87" s="31" t="str">
        <f>RIGHT(sales[[#This Row],[Emp_ID]],4)</f>
        <v>1086</v>
      </c>
      <c r="O87" s="45" t="str">
        <f>UPPER(sales[[#This Row],[Department]])</f>
        <v>ELECTRONICS</v>
      </c>
      <c r="P87" s="45" t="str">
        <f>LOWER(sales[[#This Row],[Department]])&amp;"@company.com"</f>
        <v>electronics@company.com</v>
      </c>
    </row>
    <row r="88" spans="1:16" x14ac:dyDescent="0.3">
      <c r="A88" s="15" t="s">
        <v>226</v>
      </c>
      <c r="B88" s="1" t="s">
        <v>59</v>
      </c>
      <c r="C88" s="1" t="s">
        <v>38</v>
      </c>
      <c r="D88" s="1" t="s">
        <v>24</v>
      </c>
      <c r="E88" s="1" t="s">
        <v>32</v>
      </c>
      <c r="F88" s="1">
        <v>59</v>
      </c>
      <c r="G88" s="7">
        <v>232.8</v>
      </c>
      <c r="H88" s="10">
        <f t="shared" si="2"/>
        <v>13735.2</v>
      </c>
      <c r="I88" s="10">
        <v>23118</v>
      </c>
      <c r="J88" s="16">
        <v>0.1</v>
      </c>
      <c r="K88" s="31"/>
      <c r="L88" s="31" t="str">
        <f>IF(sales[[#This Row],[Target]]&gt;25000,"MET TARGET","BELOW TARGET")</f>
        <v>BELOW TARGET</v>
      </c>
      <c r="M88" s="31" t="str">
        <f>IF(sales[[#This Row],[Units_Sold]]&gt;100,"500","0")</f>
        <v>0</v>
      </c>
      <c r="N88" s="31" t="str">
        <f>RIGHT(sales[[#This Row],[Emp_ID]],4)</f>
        <v>1087</v>
      </c>
      <c r="O88" s="45" t="str">
        <f>UPPER(sales[[#This Row],[Department]])</f>
        <v>FURNITURE</v>
      </c>
      <c r="P88" s="45" t="str">
        <f>LOWER(sales[[#This Row],[Department]])&amp;"@company.com"</f>
        <v>furniture@company.com</v>
      </c>
    </row>
    <row r="89" spans="1:16" x14ac:dyDescent="0.3">
      <c r="A89" s="15" t="s">
        <v>227</v>
      </c>
      <c r="B89" s="2" t="s">
        <v>61</v>
      </c>
      <c r="C89" s="2" t="s">
        <v>27</v>
      </c>
      <c r="D89" s="2" t="s">
        <v>28</v>
      </c>
      <c r="E89" s="2" t="s">
        <v>35</v>
      </c>
      <c r="F89" s="2">
        <v>125</v>
      </c>
      <c r="G89" s="8">
        <v>19.5</v>
      </c>
      <c r="H89" s="11">
        <f t="shared" si="2"/>
        <v>2437.5</v>
      </c>
      <c r="I89" s="11">
        <v>36351</v>
      </c>
      <c r="J89" s="17">
        <v>0.05</v>
      </c>
      <c r="K89" s="31"/>
      <c r="L89" s="31" t="str">
        <f>IF(sales[[#This Row],[Target]]&gt;25000,"MET TARGET","BELOW TARGET")</f>
        <v>MET TARGET</v>
      </c>
      <c r="M89" s="31" t="str">
        <f>IF(sales[[#This Row],[Units_Sold]]&gt;100,"500","0")</f>
        <v>500</v>
      </c>
      <c r="N89" s="31" t="str">
        <f>RIGHT(sales[[#This Row],[Emp_ID]],4)</f>
        <v>1088</v>
      </c>
      <c r="O89" s="45" t="str">
        <f>UPPER(sales[[#This Row],[Department]])</f>
        <v>SPORTS</v>
      </c>
      <c r="P89" s="45" t="str">
        <f>LOWER(sales[[#This Row],[Department]])&amp;"@company.com"</f>
        <v>sports@company.com</v>
      </c>
    </row>
    <row r="90" spans="1:16" x14ac:dyDescent="0.3">
      <c r="A90" s="15" t="s">
        <v>228</v>
      </c>
      <c r="B90" s="1" t="s">
        <v>52</v>
      </c>
      <c r="C90" s="1" t="s">
        <v>23</v>
      </c>
      <c r="D90" s="1" t="s">
        <v>13</v>
      </c>
      <c r="E90" s="1" t="s">
        <v>47</v>
      </c>
      <c r="F90" s="1">
        <v>15</v>
      </c>
      <c r="G90" s="7">
        <v>379.57</v>
      </c>
      <c r="H90" s="10">
        <f t="shared" si="2"/>
        <v>5693.55</v>
      </c>
      <c r="I90" s="10">
        <v>17205</v>
      </c>
      <c r="J90" s="16">
        <v>7.0000000000000007E-2</v>
      </c>
      <c r="K90" s="31"/>
      <c r="L90" s="31" t="str">
        <f>IF(sales[[#This Row],[Target]]&gt;25000,"MET TARGET","BELOW TARGET")</f>
        <v>BELOW TARGET</v>
      </c>
      <c r="M90" s="31" t="str">
        <f>IF(sales[[#This Row],[Units_Sold]]&gt;100,"500","0")</f>
        <v>0</v>
      </c>
      <c r="N90" s="31" t="str">
        <f>RIGHT(sales[[#This Row],[Emp_ID]],4)</f>
        <v>1089</v>
      </c>
      <c r="O90" s="45" t="str">
        <f>UPPER(sales[[#This Row],[Department]])</f>
        <v>CLOTHING</v>
      </c>
      <c r="P90" s="45" t="str">
        <f>LOWER(sales[[#This Row],[Department]])&amp;"@company.com"</f>
        <v>clothing@company.com</v>
      </c>
    </row>
    <row r="91" spans="1:16" x14ac:dyDescent="0.3">
      <c r="A91" s="15" t="s">
        <v>229</v>
      </c>
      <c r="B91" s="2" t="s">
        <v>49</v>
      </c>
      <c r="C91" s="2" t="s">
        <v>12</v>
      </c>
      <c r="D91" s="2" t="s">
        <v>19</v>
      </c>
      <c r="E91" s="2" t="s">
        <v>54</v>
      </c>
      <c r="F91" s="2">
        <v>66</v>
      </c>
      <c r="G91" s="8">
        <v>71.849999999999994</v>
      </c>
      <c r="H91" s="11">
        <f t="shared" si="2"/>
        <v>4742.0999999999995</v>
      </c>
      <c r="I91" s="11">
        <v>44873</v>
      </c>
      <c r="J91" s="17">
        <v>0.05</v>
      </c>
      <c r="K91" s="31"/>
      <c r="L91" s="31" t="str">
        <f>IF(sales[[#This Row],[Target]]&gt;25000,"MET TARGET","BELOW TARGET")</f>
        <v>MET TARGET</v>
      </c>
      <c r="M91" s="31" t="str">
        <f>IF(sales[[#This Row],[Units_Sold]]&gt;100,"500","0")</f>
        <v>0</v>
      </c>
      <c r="N91" s="31" t="str">
        <f>RIGHT(sales[[#This Row],[Emp_ID]],4)</f>
        <v>1090</v>
      </c>
      <c r="O91" s="45" t="str">
        <f>UPPER(sales[[#This Row],[Department]])</f>
        <v>ELECTRONICS</v>
      </c>
      <c r="P91" s="45" t="str">
        <f>LOWER(sales[[#This Row],[Department]])&amp;"@company.com"</f>
        <v>electronics@company.com</v>
      </c>
    </row>
    <row r="92" spans="1:16" x14ac:dyDescent="0.3">
      <c r="A92" s="15" t="s">
        <v>230</v>
      </c>
      <c r="B92" s="1" t="s">
        <v>45</v>
      </c>
      <c r="C92" s="1" t="s">
        <v>23</v>
      </c>
      <c r="D92" s="1" t="s">
        <v>24</v>
      </c>
      <c r="E92" s="1" t="s">
        <v>14</v>
      </c>
      <c r="F92" s="1">
        <v>70</v>
      </c>
      <c r="G92" s="7">
        <v>385.78</v>
      </c>
      <c r="H92" s="10">
        <f t="shared" si="2"/>
        <v>27004.6</v>
      </c>
      <c r="I92" s="10">
        <v>11996</v>
      </c>
      <c r="J92" s="16">
        <v>0.12</v>
      </c>
      <c r="K92" s="31"/>
      <c r="L92" s="31" t="str">
        <f>IF(sales[[#This Row],[Target]]&gt;25000,"MET TARGET","BELOW TARGET")</f>
        <v>BELOW TARGET</v>
      </c>
      <c r="M92" s="31" t="str">
        <f>IF(sales[[#This Row],[Units_Sold]]&gt;100,"500","0")</f>
        <v>0</v>
      </c>
      <c r="N92" s="31" t="str">
        <f>RIGHT(sales[[#This Row],[Emp_ID]],4)</f>
        <v>1091</v>
      </c>
      <c r="O92" s="45" t="str">
        <f>UPPER(sales[[#This Row],[Department]])</f>
        <v>CLOTHING</v>
      </c>
      <c r="P92" s="45" t="str">
        <f>LOWER(sales[[#This Row],[Department]])&amp;"@company.com"</f>
        <v>clothing@company.com</v>
      </c>
    </row>
    <row r="93" spans="1:16" x14ac:dyDescent="0.3">
      <c r="A93" s="15" t="s">
        <v>231</v>
      </c>
      <c r="B93" s="2" t="s">
        <v>45</v>
      </c>
      <c r="C93" s="2" t="s">
        <v>12</v>
      </c>
      <c r="D93" s="2" t="s">
        <v>46</v>
      </c>
      <c r="E93" s="2" t="s">
        <v>29</v>
      </c>
      <c r="F93" s="2">
        <v>32</v>
      </c>
      <c r="G93" s="8">
        <v>293.56</v>
      </c>
      <c r="H93" s="11">
        <f t="shared" si="2"/>
        <v>9393.92</v>
      </c>
      <c r="I93" s="11">
        <v>21444</v>
      </c>
      <c r="J93" s="17">
        <v>0.12</v>
      </c>
      <c r="K93" s="31"/>
      <c r="L93" s="31" t="str">
        <f>IF(sales[[#This Row],[Target]]&gt;25000,"MET TARGET","BELOW TARGET")</f>
        <v>BELOW TARGET</v>
      </c>
      <c r="M93" s="31" t="str">
        <f>IF(sales[[#This Row],[Units_Sold]]&gt;100,"500","0")</f>
        <v>0</v>
      </c>
      <c r="N93" s="31" t="str">
        <f>RIGHT(sales[[#This Row],[Emp_ID]],4)</f>
        <v>1092</v>
      </c>
      <c r="O93" s="45" t="str">
        <f>UPPER(sales[[#This Row],[Department]])</f>
        <v>ELECTRONICS</v>
      </c>
      <c r="P93" s="45" t="str">
        <f>LOWER(sales[[#This Row],[Department]])&amp;"@company.com"</f>
        <v>electronics@company.com</v>
      </c>
    </row>
    <row r="94" spans="1:16" x14ac:dyDescent="0.3">
      <c r="A94" s="15" t="s">
        <v>232</v>
      </c>
      <c r="B94" s="1" t="s">
        <v>11</v>
      </c>
      <c r="C94" s="1" t="s">
        <v>27</v>
      </c>
      <c r="D94" s="1" t="s">
        <v>24</v>
      </c>
      <c r="E94" s="1" t="s">
        <v>14</v>
      </c>
      <c r="F94" s="1">
        <v>55</v>
      </c>
      <c r="G94" s="7">
        <v>47.24</v>
      </c>
      <c r="H94" s="10">
        <f t="shared" si="2"/>
        <v>2598.2000000000003</v>
      </c>
      <c r="I94" s="10">
        <v>46260</v>
      </c>
      <c r="J94" s="16">
        <v>7.0000000000000007E-2</v>
      </c>
      <c r="K94" s="31"/>
      <c r="L94" s="31" t="str">
        <f>IF(sales[[#This Row],[Target]]&gt;25000,"MET TARGET","BELOW TARGET")</f>
        <v>MET TARGET</v>
      </c>
      <c r="M94" s="31" t="str">
        <f>IF(sales[[#This Row],[Units_Sold]]&gt;100,"500","0")</f>
        <v>0</v>
      </c>
      <c r="N94" s="31" t="str">
        <f>RIGHT(sales[[#This Row],[Emp_ID]],4)</f>
        <v>1093</v>
      </c>
      <c r="O94" s="45" t="str">
        <f>UPPER(sales[[#This Row],[Department]])</f>
        <v>SPORTS</v>
      </c>
      <c r="P94" s="45" t="str">
        <f>LOWER(sales[[#This Row],[Department]])&amp;"@company.com"</f>
        <v>sports@company.com</v>
      </c>
    </row>
    <row r="95" spans="1:16" x14ac:dyDescent="0.3">
      <c r="A95" s="15" t="s">
        <v>233</v>
      </c>
      <c r="B95" s="2" t="s">
        <v>31</v>
      </c>
      <c r="C95" s="2" t="s">
        <v>38</v>
      </c>
      <c r="D95" s="2" t="s">
        <v>19</v>
      </c>
      <c r="E95" s="2" t="s">
        <v>35</v>
      </c>
      <c r="F95" s="2">
        <v>149</v>
      </c>
      <c r="G95" s="8">
        <v>393.49</v>
      </c>
      <c r="H95" s="11">
        <f t="shared" si="2"/>
        <v>58630.01</v>
      </c>
      <c r="I95" s="11">
        <v>23754</v>
      </c>
      <c r="J95" s="17">
        <v>0.12</v>
      </c>
      <c r="K95" s="31"/>
      <c r="L95" s="31" t="str">
        <f>IF(sales[[#This Row],[Target]]&gt;25000,"MET TARGET","BELOW TARGET")</f>
        <v>BELOW TARGET</v>
      </c>
      <c r="M95" s="31" t="str">
        <f>IF(sales[[#This Row],[Units_Sold]]&gt;100,"500","0")</f>
        <v>500</v>
      </c>
      <c r="N95" s="31" t="str">
        <f>RIGHT(sales[[#This Row],[Emp_ID]],4)</f>
        <v>1094</v>
      </c>
      <c r="O95" s="45" t="str">
        <f>UPPER(sales[[#This Row],[Department]])</f>
        <v>FURNITURE</v>
      </c>
      <c r="P95" s="45" t="str">
        <f>LOWER(sales[[#This Row],[Department]])&amp;"@company.com"</f>
        <v>furniture@company.com</v>
      </c>
    </row>
    <row r="96" spans="1:16" x14ac:dyDescent="0.3">
      <c r="A96" s="15" t="s">
        <v>234</v>
      </c>
      <c r="B96" s="1" t="s">
        <v>22</v>
      </c>
      <c r="C96" s="1" t="s">
        <v>38</v>
      </c>
      <c r="D96" s="1" t="s">
        <v>13</v>
      </c>
      <c r="E96" s="1" t="s">
        <v>53</v>
      </c>
      <c r="F96" s="1">
        <v>170</v>
      </c>
      <c r="G96" s="7">
        <v>177.2</v>
      </c>
      <c r="H96" s="10">
        <f t="shared" si="2"/>
        <v>30123.999999999996</v>
      </c>
      <c r="I96" s="10">
        <v>28528</v>
      </c>
      <c r="J96" s="16">
        <v>0.1</v>
      </c>
      <c r="K96" s="31"/>
      <c r="L96" s="31" t="str">
        <f>IF(sales[[#This Row],[Target]]&gt;25000,"MET TARGET","BELOW TARGET")</f>
        <v>MET TARGET</v>
      </c>
      <c r="M96" s="31" t="str">
        <f>IF(sales[[#This Row],[Units_Sold]]&gt;100,"500","0")</f>
        <v>500</v>
      </c>
      <c r="N96" s="31" t="str">
        <f>RIGHT(sales[[#This Row],[Emp_ID]],4)</f>
        <v>1095</v>
      </c>
      <c r="O96" s="45" t="str">
        <f>UPPER(sales[[#This Row],[Department]])</f>
        <v>FURNITURE</v>
      </c>
      <c r="P96" s="45" t="str">
        <f>LOWER(sales[[#This Row],[Department]])&amp;"@company.com"</f>
        <v>furniture@company.com</v>
      </c>
    </row>
    <row r="97" spans="1:16" x14ac:dyDescent="0.3">
      <c r="A97" s="15" t="s">
        <v>235</v>
      </c>
      <c r="B97" s="2" t="s">
        <v>31</v>
      </c>
      <c r="C97" s="2" t="s">
        <v>27</v>
      </c>
      <c r="D97" s="2" t="s">
        <v>28</v>
      </c>
      <c r="E97" s="2" t="s">
        <v>47</v>
      </c>
      <c r="F97" s="2">
        <v>122</v>
      </c>
      <c r="G97" s="8">
        <v>356.58</v>
      </c>
      <c r="H97" s="11">
        <f t="shared" si="2"/>
        <v>43502.759999999995</v>
      </c>
      <c r="I97" s="11">
        <v>29540</v>
      </c>
      <c r="J97" s="17">
        <v>7.0000000000000007E-2</v>
      </c>
      <c r="K97" s="31"/>
      <c r="L97" s="31" t="str">
        <f>IF(sales[[#This Row],[Target]]&gt;25000,"MET TARGET","BELOW TARGET")</f>
        <v>MET TARGET</v>
      </c>
      <c r="M97" s="31" t="str">
        <f>IF(sales[[#This Row],[Units_Sold]]&gt;100,"500","0")</f>
        <v>500</v>
      </c>
      <c r="N97" s="31" t="str">
        <f>RIGHT(sales[[#This Row],[Emp_ID]],4)</f>
        <v>1096</v>
      </c>
      <c r="O97" s="45" t="str">
        <f>UPPER(sales[[#This Row],[Department]])</f>
        <v>SPORTS</v>
      </c>
      <c r="P97" s="45" t="str">
        <f>LOWER(sales[[#This Row],[Department]])&amp;"@company.com"</f>
        <v>sports@company.com</v>
      </c>
    </row>
    <row r="98" spans="1:16" x14ac:dyDescent="0.3">
      <c r="A98" s="15" t="s">
        <v>236</v>
      </c>
      <c r="B98" s="1" t="s">
        <v>26</v>
      </c>
      <c r="C98" s="1" t="s">
        <v>15</v>
      </c>
      <c r="D98" s="1" t="s">
        <v>28</v>
      </c>
      <c r="E98" s="1" t="s">
        <v>16</v>
      </c>
      <c r="F98" s="1">
        <v>142</v>
      </c>
      <c r="G98" s="7">
        <v>389.57</v>
      </c>
      <c r="H98" s="10">
        <f t="shared" ref="H98:H129" si="3">F98*G98</f>
        <v>55318.94</v>
      </c>
      <c r="I98" s="10">
        <v>31465</v>
      </c>
      <c r="J98" s="16">
        <v>0.1</v>
      </c>
      <c r="K98" s="31"/>
      <c r="L98" s="31" t="str">
        <f>IF(sales[[#This Row],[Target]]&gt;25000,"MET TARGET","BELOW TARGET")</f>
        <v>MET TARGET</v>
      </c>
      <c r="M98" s="31" t="str">
        <f>IF(sales[[#This Row],[Units_Sold]]&gt;100,"500","0")</f>
        <v>500</v>
      </c>
      <c r="N98" s="31" t="str">
        <f>RIGHT(sales[[#This Row],[Emp_ID]],4)</f>
        <v>1097</v>
      </c>
      <c r="O98" s="45" t="str">
        <f>UPPER(sales[[#This Row],[Department]])</f>
        <v>GROCERY</v>
      </c>
      <c r="P98" s="45" t="str">
        <f>LOWER(sales[[#This Row],[Department]])&amp;"@company.com"</f>
        <v>grocery@company.com</v>
      </c>
    </row>
    <row r="99" spans="1:16" x14ac:dyDescent="0.3">
      <c r="A99" s="15" t="s">
        <v>237</v>
      </c>
      <c r="B99" s="2" t="s">
        <v>49</v>
      </c>
      <c r="C99" s="2" t="s">
        <v>15</v>
      </c>
      <c r="D99" s="2" t="s">
        <v>28</v>
      </c>
      <c r="E99" s="2" t="s">
        <v>32</v>
      </c>
      <c r="F99" s="2">
        <v>67</v>
      </c>
      <c r="G99" s="8">
        <v>417.06</v>
      </c>
      <c r="H99" s="11">
        <f t="shared" si="3"/>
        <v>27943.02</v>
      </c>
      <c r="I99" s="11">
        <v>6679</v>
      </c>
      <c r="J99" s="17">
        <v>0.08</v>
      </c>
      <c r="K99" s="31"/>
      <c r="L99" s="31" t="str">
        <f>IF(sales[[#This Row],[Target]]&gt;25000,"MET TARGET","BELOW TARGET")</f>
        <v>BELOW TARGET</v>
      </c>
      <c r="M99" s="31" t="str">
        <f>IF(sales[[#This Row],[Units_Sold]]&gt;100,"500","0")</f>
        <v>0</v>
      </c>
      <c r="N99" s="31" t="str">
        <f>RIGHT(sales[[#This Row],[Emp_ID]],4)</f>
        <v>1098</v>
      </c>
      <c r="O99" s="45" t="str">
        <f>UPPER(sales[[#This Row],[Department]])</f>
        <v>GROCERY</v>
      </c>
      <c r="P99" s="45" t="str">
        <f>LOWER(sales[[#This Row],[Department]])&amp;"@company.com"</f>
        <v>grocery@company.com</v>
      </c>
    </row>
    <row r="100" spans="1:16" x14ac:dyDescent="0.3">
      <c r="A100" s="15" t="s">
        <v>238</v>
      </c>
      <c r="B100" s="1" t="s">
        <v>37</v>
      </c>
      <c r="C100" s="1" t="s">
        <v>27</v>
      </c>
      <c r="D100" s="1" t="s">
        <v>46</v>
      </c>
      <c r="E100" s="1" t="s">
        <v>55</v>
      </c>
      <c r="F100" s="1">
        <v>150</v>
      </c>
      <c r="G100" s="7">
        <v>309.06</v>
      </c>
      <c r="H100" s="10">
        <f t="shared" si="3"/>
        <v>46359</v>
      </c>
      <c r="I100" s="10">
        <v>25837</v>
      </c>
      <c r="J100" s="16">
        <v>0.08</v>
      </c>
      <c r="K100" s="31"/>
      <c r="L100" s="31" t="str">
        <f>IF(sales[[#This Row],[Target]]&gt;25000,"MET TARGET","BELOW TARGET")</f>
        <v>MET TARGET</v>
      </c>
      <c r="M100" s="31" t="str">
        <f>IF(sales[[#This Row],[Units_Sold]]&gt;100,"500","0")</f>
        <v>500</v>
      </c>
      <c r="N100" s="31" t="str">
        <f>RIGHT(sales[[#This Row],[Emp_ID]],4)</f>
        <v>1099</v>
      </c>
      <c r="O100" s="45" t="str">
        <f>UPPER(sales[[#This Row],[Department]])</f>
        <v>SPORTS</v>
      </c>
      <c r="P100" s="45" t="str">
        <f>LOWER(sales[[#This Row],[Department]])&amp;"@company.com"</f>
        <v>sports@company.com</v>
      </c>
    </row>
    <row r="101" spans="1:16" x14ac:dyDescent="0.3">
      <c r="A101" s="15" t="s">
        <v>239</v>
      </c>
      <c r="B101" s="2" t="s">
        <v>59</v>
      </c>
      <c r="C101" s="2" t="s">
        <v>27</v>
      </c>
      <c r="D101" s="2" t="s">
        <v>28</v>
      </c>
      <c r="E101" s="2" t="s">
        <v>54</v>
      </c>
      <c r="F101" s="2">
        <v>129</v>
      </c>
      <c r="G101" s="8">
        <v>113.94</v>
      </c>
      <c r="H101" s="11">
        <f t="shared" si="3"/>
        <v>14698.26</v>
      </c>
      <c r="I101" s="11">
        <v>17931</v>
      </c>
      <c r="J101" s="17">
        <v>0.08</v>
      </c>
      <c r="K101" s="31"/>
      <c r="L101" s="31" t="str">
        <f>IF(sales[[#This Row],[Target]]&gt;25000,"MET TARGET","BELOW TARGET")</f>
        <v>BELOW TARGET</v>
      </c>
      <c r="M101" s="31" t="str">
        <f>IF(sales[[#This Row],[Units_Sold]]&gt;100,"500","0")</f>
        <v>500</v>
      </c>
      <c r="N101" s="31" t="str">
        <f>RIGHT(sales[[#This Row],[Emp_ID]],4)</f>
        <v>1100</v>
      </c>
      <c r="O101" s="45" t="str">
        <f>UPPER(sales[[#This Row],[Department]])</f>
        <v>SPORTS</v>
      </c>
      <c r="P101" s="45" t="str">
        <f>LOWER(sales[[#This Row],[Department]])&amp;"@company.com"</f>
        <v>sports@company.com</v>
      </c>
    </row>
    <row r="102" spans="1:16" x14ac:dyDescent="0.3">
      <c r="A102" s="15" t="s">
        <v>240</v>
      </c>
      <c r="B102" s="1" t="s">
        <v>61</v>
      </c>
      <c r="C102" s="1" t="s">
        <v>15</v>
      </c>
      <c r="D102" s="1" t="s">
        <v>28</v>
      </c>
      <c r="E102" s="1" t="s">
        <v>53</v>
      </c>
      <c r="F102" s="1">
        <v>7</v>
      </c>
      <c r="G102" s="7">
        <v>263.14999999999998</v>
      </c>
      <c r="H102" s="10">
        <f t="shared" si="3"/>
        <v>1842.0499999999997</v>
      </c>
      <c r="I102" s="10">
        <v>13521</v>
      </c>
      <c r="J102" s="16">
        <v>0.05</v>
      </c>
      <c r="K102" s="31"/>
      <c r="L102" s="31" t="str">
        <f>IF(sales[[#This Row],[Target]]&gt;25000,"MET TARGET","BELOW TARGET")</f>
        <v>BELOW TARGET</v>
      </c>
      <c r="M102" s="31" t="str">
        <f>IF(sales[[#This Row],[Units_Sold]]&gt;100,"500","0")</f>
        <v>0</v>
      </c>
      <c r="N102" s="31" t="str">
        <f>RIGHT(sales[[#This Row],[Emp_ID]],4)</f>
        <v>1101</v>
      </c>
      <c r="O102" s="45" t="str">
        <f>UPPER(sales[[#This Row],[Department]])</f>
        <v>GROCERY</v>
      </c>
      <c r="P102" s="45" t="str">
        <f>LOWER(sales[[#This Row],[Department]])&amp;"@company.com"</f>
        <v>grocery@company.com</v>
      </c>
    </row>
    <row r="103" spans="1:16" x14ac:dyDescent="0.3">
      <c r="A103" s="15" t="s">
        <v>241</v>
      </c>
      <c r="B103" s="2" t="s">
        <v>18</v>
      </c>
      <c r="C103" s="2" t="s">
        <v>27</v>
      </c>
      <c r="D103" s="2" t="s">
        <v>24</v>
      </c>
      <c r="E103" s="2" t="s">
        <v>53</v>
      </c>
      <c r="F103" s="2">
        <v>199</v>
      </c>
      <c r="G103" s="8">
        <v>127.76</v>
      </c>
      <c r="H103" s="11">
        <f t="shared" si="3"/>
        <v>25424.240000000002</v>
      </c>
      <c r="I103" s="11">
        <v>32201</v>
      </c>
      <c r="J103" s="17">
        <v>0.1</v>
      </c>
      <c r="K103" s="31"/>
      <c r="L103" s="31" t="str">
        <f>IF(sales[[#This Row],[Target]]&gt;25000,"MET TARGET","BELOW TARGET")</f>
        <v>MET TARGET</v>
      </c>
      <c r="M103" s="31" t="str">
        <f>IF(sales[[#This Row],[Units_Sold]]&gt;100,"500","0")</f>
        <v>500</v>
      </c>
      <c r="N103" s="31" t="str">
        <f>RIGHT(sales[[#This Row],[Emp_ID]],4)</f>
        <v>1102</v>
      </c>
      <c r="O103" s="45" t="str">
        <f>UPPER(sales[[#This Row],[Department]])</f>
        <v>SPORTS</v>
      </c>
      <c r="P103" s="45" t="str">
        <f>LOWER(sales[[#This Row],[Department]])&amp;"@company.com"</f>
        <v>sports@company.com</v>
      </c>
    </row>
    <row r="104" spans="1:16" x14ac:dyDescent="0.3">
      <c r="A104" s="15" t="s">
        <v>242</v>
      </c>
      <c r="B104" s="1" t="s">
        <v>57</v>
      </c>
      <c r="C104" s="1" t="s">
        <v>12</v>
      </c>
      <c r="D104" s="1" t="s">
        <v>13</v>
      </c>
      <c r="E104" s="1" t="s">
        <v>29</v>
      </c>
      <c r="F104" s="1">
        <v>61</v>
      </c>
      <c r="G104" s="7">
        <v>208.16</v>
      </c>
      <c r="H104" s="10">
        <f t="shared" si="3"/>
        <v>12697.76</v>
      </c>
      <c r="I104" s="10">
        <v>16945</v>
      </c>
      <c r="J104" s="16">
        <v>0.08</v>
      </c>
      <c r="K104" s="31"/>
      <c r="L104" s="31" t="str">
        <f>IF(sales[[#This Row],[Target]]&gt;25000,"MET TARGET","BELOW TARGET")</f>
        <v>BELOW TARGET</v>
      </c>
      <c r="M104" s="31" t="str">
        <f>IF(sales[[#This Row],[Units_Sold]]&gt;100,"500","0")</f>
        <v>0</v>
      </c>
      <c r="N104" s="31" t="str">
        <f>RIGHT(sales[[#This Row],[Emp_ID]],4)</f>
        <v>1103</v>
      </c>
      <c r="O104" s="45" t="str">
        <f>UPPER(sales[[#This Row],[Department]])</f>
        <v>ELECTRONICS</v>
      </c>
      <c r="P104" s="45" t="str">
        <f>LOWER(sales[[#This Row],[Department]])&amp;"@company.com"</f>
        <v>electronics@company.com</v>
      </c>
    </row>
    <row r="105" spans="1:16" x14ac:dyDescent="0.3">
      <c r="A105" s="15" t="s">
        <v>243</v>
      </c>
      <c r="B105" s="2" t="s">
        <v>11</v>
      </c>
      <c r="C105" s="2" t="s">
        <v>15</v>
      </c>
      <c r="D105" s="2" t="s">
        <v>28</v>
      </c>
      <c r="E105" s="2" t="s">
        <v>55</v>
      </c>
      <c r="F105" s="2">
        <v>146</v>
      </c>
      <c r="G105" s="8">
        <v>270.14999999999998</v>
      </c>
      <c r="H105" s="11">
        <f t="shared" si="3"/>
        <v>39441.899999999994</v>
      </c>
      <c r="I105" s="11">
        <v>28885</v>
      </c>
      <c r="J105" s="17">
        <v>0.12</v>
      </c>
      <c r="K105" s="31"/>
      <c r="L105" s="31" t="str">
        <f>IF(sales[[#This Row],[Target]]&gt;25000,"MET TARGET","BELOW TARGET")</f>
        <v>MET TARGET</v>
      </c>
      <c r="M105" s="31" t="str">
        <f>IF(sales[[#This Row],[Units_Sold]]&gt;100,"500","0")</f>
        <v>500</v>
      </c>
      <c r="N105" s="31" t="str">
        <f>RIGHT(sales[[#This Row],[Emp_ID]],4)</f>
        <v>1104</v>
      </c>
      <c r="O105" s="45" t="str">
        <f>UPPER(sales[[#This Row],[Department]])</f>
        <v>GROCERY</v>
      </c>
      <c r="P105" s="45" t="str">
        <f>LOWER(sales[[#This Row],[Department]])&amp;"@company.com"</f>
        <v>grocery@company.com</v>
      </c>
    </row>
    <row r="106" spans="1:16" x14ac:dyDescent="0.3">
      <c r="A106" s="15" t="s">
        <v>244</v>
      </c>
      <c r="B106" s="1" t="s">
        <v>52</v>
      </c>
      <c r="C106" s="1" t="s">
        <v>38</v>
      </c>
      <c r="D106" s="1" t="s">
        <v>24</v>
      </c>
      <c r="E106" s="1" t="s">
        <v>29</v>
      </c>
      <c r="F106" s="1">
        <v>83</v>
      </c>
      <c r="G106" s="7">
        <v>133.19</v>
      </c>
      <c r="H106" s="10">
        <f t="shared" si="3"/>
        <v>11054.77</v>
      </c>
      <c r="I106" s="10">
        <v>8907</v>
      </c>
      <c r="J106" s="16">
        <v>7.0000000000000007E-2</v>
      </c>
      <c r="K106" s="31"/>
      <c r="L106" s="31" t="str">
        <f>IF(sales[[#This Row],[Target]]&gt;25000,"MET TARGET","BELOW TARGET")</f>
        <v>BELOW TARGET</v>
      </c>
      <c r="M106" s="31" t="str">
        <f>IF(sales[[#This Row],[Units_Sold]]&gt;100,"500","0")</f>
        <v>0</v>
      </c>
      <c r="N106" s="31" t="str">
        <f>RIGHT(sales[[#This Row],[Emp_ID]],4)</f>
        <v>1105</v>
      </c>
      <c r="O106" s="45" t="str">
        <f>UPPER(sales[[#This Row],[Department]])</f>
        <v>FURNITURE</v>
      </c>
      <c r="P106" s="45" t="str">
        <f>LOWER(sales[[#This Row],[Department]])&amp;"@company.com"</f>
        <v>furniture@company.com</v>
      </c>
    </row>
    <row r="107" spans="1:16" x14ac:dyDescent="0.3">
      <c r="A107" s="15" t="s">
        <v>245</v>
      </c>
      <c r="B107" s="2" t="s">
        <v>52</v>
      </c>
      <c r="C107" s="2" t="s">
        <v>12</v>
      </c>
      <c r="D107" s="2" t="s">
        <v>19</v>
      </c>
      <c r="E107" s="2" t="s">
        <v>14</v>
      </c>
      <c r="F107" s="2">
        <v>52</v>
      </c>
      <c r="G107" s="8">
        <v>103.86</v>
      </c>
      <c r="H107" s="11">
        <f t="shared" si="3"/>
        <v>5400.72</v>
      </c>
      <c r="I107" s="11">
        <v>49405</v>
      </c>
      <c r="J107" s="17">
        <v>0.1</v>
      </c>
      <c r="K107" s="31"/>
      <c r="L107" s="31" t="str">
        <f>IF(sales[[#This Row],[Target]]&gt;25000,"MET TARGET","BELOW TARGET")</f>
        <v>MET TARGET</v>
      </c>
      <c r="M107" s="31" t="str">
        <f>IF(sales[[#This Row],[Units_Sold]]&gt;100,"500","0")</f>
        <v>0</v>
      </c>
      <c r="N107" s="31" t="str">
        <f>RIGHT(sales[[#This Row],[Emp_ID]],4)</f>
        <v>1106</v>
      </c>
      <c r="O107" s="45" t="str">
        <f>UPPER(sales[[#This Row],[Department]])</f>
        <v>ELECTRONICS</v>
      </c>
      <c r="P107" s="45" t="str">
        <f>LOWER(sales[[#This Row],[Department]])&amp;"@company.com"</f>
        <v>electronics@company.com</v>
      </c>
    </row>
    <row r="108" spans="1:16" x14ac:dyDescent="0.3">
      <c r="A108" s="15" t="s">
        <v>246</v>
      </c>
      <c r="B108" s="1" t="s">
        <v>61</v>
      </c>
      <c r="C108" s="1" t="s">
        <v>15</v>
      </c>
      <c r="D108" s="1" t="s">
        <v>19</v>
      </c>
      <c r="E108" s="1" t="s">
        <v>16</v>
      </c>
      <c r="F108" s="1">
        <v>77</v>
      </c>
      <c r="G108" s="7">
        <v>490.45</v>
      </c>
      <c r="H108" s="10">
        <f t="shared" si="3"/>
        <v>37764.65</v>
      </c>
      <c r="I108" s="10">
        <v>13721</v>
      </c>
      <c r="J108" s="16">
        <v>0.08</v>
      </c>
      <c r="K108" s="31"/>
      <c r="L108" s="31" t="str">
        <f>IF(sales[[#This Row],[Target]]&gt;25000,"MET TARGET","BELOW TARGET")</f>
        <v>BELOW TARGET</v>
      </c>
      <c r="M108" s="31" t="str">
        <f>IF(sales[[#This Row],[Units_Sold]]&gt;100,"500","0")</f>
        <v>0</v>
      </c>
      <c r="N108" s="31" t="str">
        <f>RIGHT(sales[[#This Row],[Emp_ID]],4)</f>
        <v>1107</v>
      </c>
      <c r="O108" s="45" t="str">
        <f>UPPER(sales[[#This Row],[Department]])</f>
        <v>GROCERY</v>
      </c>
      <c r="P108" s="45" t="str">
        <f>LOWER(sales[[#This Row],[Department]])&amp;"@company.com"</f>
        <v>grocery@company.com</v>
      </c>
    </row>
    <row r="109" spans="1:16" x14ac:dyDescent="0.3">
      <c r="A109" s="15" t="s">
        <v>247</v>
      </c>
      <c r="B109" s="2" t="s">
        <v>18</v>
      </c>
      <c r="C109" s="2" t="s">
        <v>38</v>
      </c>
      <c r="D109" s="2" t="s">
        <v>46</v>
      </c>
      <c r="E109" s="2" t="s">
        <v>29</v>
      </c>
      <c r="F109" s="2">
        <v>8</v>
      </c>
      <c r="G109" s="8">
        <v>356.93</v>
      </c>
      <c r="H109" s="11">
        <f t="shared" si="3"/>
        <v>2855.44</v>
      </c>
      <c r="I109" s="11">
        <v>9295</v>
      </c>
      <c r="J109" s="17">
        <v>0.08</v>
      </c>
      <c r="K109" s="31"/>
      <c r="L109" s="31" t="str">
        <f>IF(sales[[#This Row],[Target]]&gt;25000,"MET TARGET","BELOW TARGET")</f>
        <v>BELOW TARGET</v>
      </c>
      <c r="M109" s="31" t="str">
        <f>IF(sales[[#This Row],[Units_Sold]]&gt;100,"500","0")</f>
        <v>0</v>
      </c>
      <c r="N109" s="31" t="str">
        <f>RIGHT(sales[[#This Row],[Emp_ID]],4)</f>
        <v>1108</v>
      </c>
      <c r="O109" s="45" t="str">
        <f>UPPER(sales[[#This Row],[Department]])</f>
        <v>FURNITURE</v>
      </c>
      <c r="P109" s="45" t="str">
        <f>LOWER(sales[[#This Row],[Department]])&amp;"@company.com"</f>
        <v>furniture@company.com</v>
      </c>
    </row>
    <row r="110" spans="1:16" x14ac:dyDescent="0.3">
      <c r="A110" s="15" t="s">
        <v>248</v>
      </c>
      <c r="B110" s="1" t="s">
        <v>59</v>
      </c>
      <c r="C110" s="1" t="s">
        <v>12</v>
      </c>
      <c r="D110" s="1" t="s">
        <v>19</v>
      </c>
      <c r="E110" s="1" t="s">
        <v>29</v>
      </c>
      <c r="F110" s="1">
        <v>183</v>
      </c>
      <c r="G110" s="7">
        <v>472.6</v>
      </c>
      <c r="H110" s="10">
        <f t="shared" si="3"/>
        <v>86485.8</v>
      </c>
      <c r="I110" s="10">
        <v>42803</v>
      </c>
      <c r="J110" s="16">
        <v>0.1</v>
      </c>
      <c r="K110" s="31"/>
      <c r="L110" s="31" t="str">
        <f>IF(sales[[#This Row],[Target]]&gt;25000,"MET TARGET","BELOW TARGET")</f>
        <v>MET TARGET</v>
      </c>
      <c r="M110" s="31" t="str">
        <f>IF(sales[[#This Row],[Units_Sold]]&gt;100,"500","0")</f>
        <v>500</v>
      </c>
      <c r="N110" s="31" t="str">
        <f>RIGHT(sales[[#This Row],[Emp_ID]],4)</f>
        <v>1109</v>
      </c>
      <c r="O110" s="45" t="str">
        <f>UPPER(sales[[#This Row],[Department]])</f>
        <v>ELECTRONICS</v>
      </c>
      <c r="P110" s="45" t="str">
        <f>LOWER(sales[[#This Row],[Department]])&amp;"@company.com"</f>
        <v>electronics@company.com</v>
      </c>
    </row>
    <row r="111" spans="1:16" x14ac:dyDescent="0.3">
      <c r="A111" s="15" t="s">
        <v>249</v>
      </c>
      <c r="B111" s="2" t="s">
        <v>31</v>
      </c>
      <c r="C111" s="2" t="s">
        <v>12</v>
      </c>
      <c r="D111" s="2" t="s">
        <v>19</v>
      </c>
      <c r="E111" s="2" t="s">
        <v>29</v>
      </c>
      <c r="F111" s="2">
        <v>125</v>
      </c>
      <c r="G111" s="8">
        <v>244.57</v>
      </c>
      <c r="H111" s="11">
        <f t="shared" si="3"/>
        <v>30571.25</v>
      </c>
      <c r="I111" s="11">
        <v>23328</v>
      </c>
      <c r="J111" s="17">
        <v>7.0000000000000007E-2</v>
      </c>
      <c r="K111" s="31"/>
      <c r="L111" s="31" t="str">
        <f>IF(sales[[#This Row],[Target]]&gt;25000,"MET TARGET","BELOW TARGET")</f>
        <v>BELOW TARGET</v>
      </c>
      <c r="M111" s="31" t="str">
        <f>IF(sales[[#This Row],[Units_Sold]]&gt;100,"500","0")</f>
        <v>500</v>
      </c>
      <c r="N111" s="31" t="str">
        <f>RIGHT(sales[[#This Row],[Emp_ID]],4)</f>
        <v>1110</v>
      </c>
      <c r="O111" s="45" t="str">
        <f>UPPER(sales[[#This Row],[Department]])</f>
        <v>ELECTRONICS</v>
      </c>
      <c r="P111" s="45" t="str">
        <f>LOWER(sales[[#This Row],[Department]])&amp;"@company.com"</f>
        <v>electronics@company.com</v>
      </c>
    </row>
    <row r="112" spans="1:16" x14ac:dyDescent="0.3">
      <c r="A112" s="15" t="s">
        <v>250</v>
      </c>
      <c r="B112" s="1" t="s">
        <v>59</v>
      </c>
      <c r="C112" s="1" t="s">
        <v>38</v>
      </c>
      <c r="D112" s="1" t="s">
        <v>24</v>
      </c>
      <c r="E112" s="1" t="s">
        <v>35</v>
      </c>
      <c r="F112" s="1">
        <v>21</v>
      </c>
      <c r="G112" s="7">
        <v>206.35</v>
      </c>
      <c r="H112" s="10">
        <f t="shared" si="3"/>
        <v>4333.3499999999995</v>
      </c>
      <c r="I112" s="10">
        <v>5855</v>
      </c>
      <c r="J112" s="16">
        <v>0.12</v>
      </c>
      <c r="K112" s="31"/>
      <c r="L112" s="31" t="str">
        <f>IF(sales[[#This Row],[Target]]&gt;25000,"MET TARGET","BELOW TARGET")</f>
        <v>BELOW TARGET</v>
      </c>
      <c r="M112" s="31" t="str">
        <f>IF(sales[[#This Row],[Units_Sold]]&gt;100,"500","0")</f>
        <v>0</v>
      </c>
      <c r="N112" s="31" t="str">
        <f>RIGHT(sales[[#This Row],[Emp_ID]],4)</f>
        <v>1111</v>
      </c>
      <c r="O112" s="45" t="str">
        <f>UPPER(sales[[#This Row],[Department]])</f>
        <v>FURNITURE</v>
      </c>
      <c r="P112" s="45" t="str">
        <f>LOWER(sales[[#This Row],[Department]])&amp;"@company.com"</f>
        <v>furniture@company.com</v>
      </c>
    </row>
    <row r="113" spans="1:16" x14ac:dyDescent="0.3">
      <c r="A113" s="15" t="s">
        <v>251</v>
      </c>
      <c r="B113" s="2" t="s">
        <v>11</v>
      </c>
      <c r="C113" s="2" t="s">
        <v>12</v>
      </c>
      <c r="D113" s="2" t="s">
        <v>46</v>
      </c>
      <c r="E113" s="2" t="s">
        <v>54</v>
      </c>
      <c r="F113" s="2">
        <v>149</v>
      </c>
      <c r="G113" s="8">
        <v>475.07</v>
      </c>
      <c r="H113" s="11">
        <f t="shared" si="3"/>
        <v>70785.429999999993</v>
      </c>
      <c r="I113" s="11">
        <v>6582</v>
      </c>
      <c r="J113" s="17">
        <v>7.0000000000000007E-2</v>
      </c>
      <c r="K113" s="31"/>
      <c r="L113" s="31" t="str">
        <f>IF(sales[[#This Row],[Target]]&gt;25000,"MET TARGET","BELOW TARGET")</f>
        <v>BELOW TARGET</v>
      </c>
      <c r="M113" s="31" t="str">
        <f>IF(sales[[#This Row],[Units_Sold]]&gt;100,"500","0")</f>
        <v>500</v>
      </c>
      <c r="N113" s="31" t="str">
        <f>RIGHT(sales[[#This Row],[Emp_ID]],4)</f>
        <v>1112</v>
      </c>
      <c r="O113" s="45" t="str">
        <f>UPPER(sales[[#This Row],[Department]])</f>
        <v>ELECTRONICS</v>
      </c>
      <c r="P113" s="45" t="str">
        <f>LOWER(sales[[#This Row],[Department]])&amp;"@company.com"</f>
        <v>electronics@company.com</v>
      </c>
    </row>
    <row r="114" spans="1:16" x14ac:dyDescent="0.3">
      <c r="A114" s="15" t="s">
        <v>252</v>
      </c>
      <c r="B114" s="1" t="s">
        <v>31</v>
      </c>
      <c r="C114" s="1" t="s">
        <v>15</v>
      </c>
      <c r="D114" s="1" t="s">
        <v>24</v>
      </c>
      <c r="E114" s="1" t="s">
        <v>16</v>
      </c>
      <c r="F114" s="1">
        <v>157</v>
      </c>
      <c r="G114" s="7">
        <v>397.46</v>
      </c>
      <c r="H114" s="10">
        <f t="shared" si="3"/>
        <v>62401.219999999994</v>
      </c>
      <c r="I114" s="10">
        <v>15790</v>
      </c>
      <c r="J114" s="16">
        <v>0.12</v>
      </c>
      <c r="K114" s="31"/>
      <c r="L114" s="31" t="str">
        <f>IF(sales[[#This Row],[Target]]&gt;25000,"MET TARGET","BELOW TARGET")</f>
        <v>BELOW TARGET</v>
      </c>
      <c r="M114" s="31" t="str">
        <f>IF(sales[[#This Row],[Units_Sold]]&gt;100,"500","0")</f>
        <v>500</v>
      </c>
      <c r="N114" s="31" t="str">
        <f>RIGHT(sales[[#This Row],[Emp_ID]],4)</f>
        <v>1113</v>
      </c>
      <c r="O114" s="45" t="str">
        <f>UPPER(sales[[#This Row],[Department]])</f>
        <v>GROCERY</v>
      </c>
      <c r="P114" s="45" t="str">
        <f>LOWER(sales[[#This Row],[Department]])&amp;"@company.com"</f>
        <v>grocery@company.com</v>
      </c>
    </row>
    <row r="115" spans="1:16" x14ac:dyDescent="0.3">
      <c r="A115" s="15" t="s">
        <v>253</v>
      </c>
      <c r="B115" s="2" t="s">
        <v>22</v>
      </c>
      <c r="C115" s="2" t="s">
        <v>27</v>
      </c>
      <c r="D115" s="2" t="s">
        <v>24</v>
      </c>
      <c r="E115" s="2" t="s">
        <v>29</v>
      </c>
      <c r="F115" s="2">
        <v>155</v>
      </c>
      <c r="G115" s="8">
        <v>495.12</v>
      </c>
      <c r="H115" s="11">
        <f t="shared" si="3"/>
        <v>76743.600000000006</v>
      </c>
      <c r="I115" s="11">
        <v>21013</v>
      </c>
      <c r="J115" s="17">
        <v>0.12</v>
      </c>
      <c r="K115" s="31"/>
      <c r="L115" s="31" t="str">
        <f>IF(sales[[#This Row],[Target]]&gt;25000,"MET TARGET","BELOW TARGET")</f>
        <v>BELOW TARGET</v>
      </c>
      <c r="M115" s="31" t="str">
        <f>IF(sales[[#This Row],[Units_Sold]]&gt;100,"500","0")</f>
        <v>500</v>
      </c>
      <c r="N115" s="31" t="str">
        <f>RIGHT(sales[[#This Row],[Emp_ID]],4)</f>
        <v>1114</v>
      </c>
      <c r="O115" s="45" t="str">
        <f>UPPER(sales[[#This Row],[Department]])</f>
        <v>SPORTS</v>
      </c>
      <c r="P115" s="45" t="str">
        <f>LOWER(sales[[#This Row],[Department]])&amp;"@company.com"</f>
        <v>sports@company.com</v>
      </c>
    </row>
    <row r="116" spans="1:16" x14ac:dyDescent="0.3">
      <c r="A116" s="15" t="s">
        <v>254</v>
      </c>
      <c r="B116" s="1" t="s">
        <v>45</v>
      </c>
      <c r="C116" s="1" t="s">
        <v>12</v>
      </c>
      <c r="D116" s="1" t="s">
        <v>19</v>
      </c>
      <c r="E116" s="1" t="s">
        <v>14</v>
      </c>
      <c r="F116" s="1">
        <v>30</v>
      </c>
      <c r="G116" s="7">
        <v>474.32</v>
      </c>
      <c r="H116" s="10">
        <f t="shared" si="3"/>
        <v>14229.6</v>
      </c>
      <c r="I116" s="10">
        <v>14617</v>
      </c>
      <c r="J116" s="16">
        <v>7.0000000000000007E-2</v>
      </c>
      <c r="K116" s="31"/>
      <c r="L116" s="31" t="str">
        <f>IF(sales[[#This Row],[Target]]&gt;25000,"MET TARGET","BELOW TARGET")</f>
        <v>BELOW TARGET</v>
      </c>
      <c r="M116" s="31" t="str">
        <f>IF(sales[[#This Row],[Units_Sold]]&gt;100,"500","0")</f>
        <v>0</v>
      </c>
      <c r="N116" s="31" t="str">
        <f>RIGHT(sales[[#This Row],[Emp_ID]],4)</f>
        <v>1115</v>
      </c>
      <c r="O116" s="45" t="str">
        <f>UPPER(sales[[#This Row],[Department]])</f>
        <v>ELECTRONICS</v>
      </c>
      <c r="P116" s="45" t="str">
        <f>LOWER(sales[[#This Row],[Department]])&amp;"@company.com"</f>
        <v>electronics@company.com</v>
      </c>
    </row>
    <row r="117" spans="1:16" x14ac:dyDescent="0.3">
      <c r="A117" s="15" t="s">
        <v>255</v>
      </c>
      <c r="B117" s="2" t="s">
        <v>61</v>
      </c>
      <c r="C117" s="2" t="s">
        <v>12</v>
      </c>
      <c r="D117" s="2" t="s">
        <v>46</v>
      </c>
      <c r="E117" s="2" t="s">
        <v>39</v>
      </c>
      <c r="F117" s="2">
        <v>49</v>
      </c>
      <c r="G117" s="8">
        <v>280.48</v>
      </c>
      <c r="H117" s="11">
        <f t="shared" si="3"/>
        <v>13743.52</v>
      </c>
      <c r="I117" s="11">
        <v>11258</v>
      </c>
      <c r="J117" s="17">
        <v>0.05</v>
      </c>
      <c r="K117" s="31"/>
      <c r="L117" s="31" t="str">
        <f>IF(sales[[#This Row],[Target]]&gt;25000,"MET TARGET","BELOW TARGET")</f>
        <v>BELOW TARGET</v>
      </c>
      <c r="M117" s="31" t="str">
        <f>IF(sales[[#This Row],[Units_Sold]]&gt;100,"500","0")</f>
        <v>0</v>
      </c>
      <c r="N117" s="31" t="str">
        <f>RIGHT(sales[[#This Row],[Emp_ID]],4)</f>
        <v>1116</v>
      </c>
      <c r="O117" s="45" t="str">
        <f>UPPER(sales[[#This Row],[Department]])</f>
        <v>ELECTRONICS</v>
      </c>
      <c r="P117" s="45" t="str">
        <f>LOWER(sales[[#This Row],[Department]])&amp;"@company.com"</f>
        <v>electronics@company.com</v>
      </c>
    </row>
    <row r="118" spans="1:16" x14ac:dyDescent="0.3">
      <c r="A118" s="15" t="s">
        <v>256</v>
      </c>
      <c r="B118" s="1" t="s">
        <v>22</v>
      </c>
      <c r="C118" s="1" t="s">
        <v>27</v>
      </c>
      <c r="D118" s="1" t="s">
        <v>19</v>
      </c>
      <c r="E118" s="1" t="s">
        <v>55</v>
      </c>
      <c r="F118" s="1">
        <v>79</v>
      </c>
      <c r="G118" s="7">
        <v>25.99</v>
      </c>
      <c r="H118" s="10">
        <f t="shared" si="3"/>
        <v>2053.21</v>
      </c>
      <c r="I118" s="10">
        <v>19881</v>
      </c>
      <c r="J118" s="16">
        <v>0.08</v>
      </c>
      <c r="K118" s="31"/>
      <c r="L118" s="31" t="str">
        <f>IF(sales[[#This Row],[Target]]&gt;25000,"MET TARGET","BELOW TARGET")</f>
        <v>BELOW TARGET</v>
      </c>
      <c r="M118" s="31" t="str">
        <f>IF(sales[[#This Row],[Units_Sold]]&gt;100,"500","0")</f>
        <v>0</v>
      </c>
      <c r="N118" s="31" t="str">
        <f>RIGHT(sales[[#This Row],[Emp_ID]],4)</f>
        <v>1117</v>
      </c>
      <c r="O118" s="45" t="str">
        <f>UPPER(sales[[#This Row],[Department]])</f>
        <v>SPORTS</v>
      </c>
      <c r="P118" s="45" t="str">
        <f>LOWER(sales[[#This Row],[Department]])&amp;"@company.com"</f>
        <v>sports@company.com</v>
      </c>
    </row>
    <row r="119" spans="1:16" x14ac:dyDescent="0.3">
      <c r="A119" s="15" t="s">
        <v>257</v>
      </c>
      <c r="B119" s="2" t="s">
        <v>26</v>
      </c>
      <c r="C119" s="2" t="s">
        <v>27</v>
      </c>
      <c r="D119" s="2" t="s">
        <v>13</v>
      </c>
      <c r="E119" s="2" t="s">
        <v>47</v>
      </c>
      <c r="F119" s="2">
        <v>64</v>
      </c>
      <c r="G119" s="8">
        <v>462.72</v>
      </c>
      <c r="H119" s="11">
        <f t="shared" si="3"/>
        <v>29614.080000000002</v>
      </c>
      <c r="I119" s="11">
        <v>41963</v>
      </c>
      <c r="J119" s="17">
        <v>0.12</v>
      </c>
      <c r="K119" s="31"/>
      <c r="L119" s="31" t="str">
        <f>IF(sales[[#This Row],[Target]]&gt;25000,"MET TARGET","BELOW TARGET")</f>
        <v>MET TARGET</v>
      </c>
      <c r="M119" s="31" t="str">
        <f>IF(sales[[#This Row],[Units_Sold]]&gt;100,"500","0")</f>
        <v>0</v>
      </c>
      <c r="N119" s="31" t="str">
        <f>RIGHT(sales[[#This Row],[Emp_ID]],4)</f>
        <v>1118</v>
      </c>
      <c r="O119" s="45" t="str">
        <f>UPPER(sales[[#This Row],[Department]])</f>
        <v>SPORTS</v>
      </c>
      <c r="P119" s="45" t="str">
        <f>LOWER(sales[[#This Row],[Department]])&amp;"@company.com"</f>
        <v>sports@company.com</v>
      </c>
    </row>
    <row r="120" spans="1:16" x14ac:dyDescent="0.3">
      <c r="A120" s="15" t="s">
        <v>258</v>
      </c>
      <c r="B120" s="1" t="s">
        <v>11</v>
      </c>
      <c r="C120" s="1" t="s">
        <v>23</v>
      </c>
      <c r="D120" s="1" t="s">
        <v>24</v>
      </c>
      <c r="E120" s="1" t="s">
        <v>35</v>
      </c>
      <c r="F120" s="1">
        <v>144</v>
      </c>
      <c r="G120" s="7">
        <v>120.16</v>
      </c>
      <c r="H120" s="10">
        <f t="shared" si="3"/>
        <v>17303.04</v>
      </c>
      <c r="I120" s="10">
        <v>10764</v>
      </c>
      <c r="J120" s="16">
        <v>0.08</v>
      </c>
      <c r="K120" s="31"/>
      <c r="L120" s="31" t="str">
        <f>IF(sales[[#This Row],[Target]]&gt;25000,"MET TARGET","BELOW TARGET")</f>
        <v>BELOW TARGET</v>
      </c>
      <c r="M120" s="31" t="str">
        <f>IF(sales[[#This Row],[Units_Sold]]&gt;100,"500","0")</f>
        <v>500</v>
      </c>
      <c r="N120" s="31" t="str">
        <f>RIGHT(sales[[#This Row],[Emp_ID]],4)</f>
        <v>1119</v>
      </c>
      <c r="O120" s="45" t="str">
        <f>UPPER(sales[[#This Row],[Department]])</f>
        <v>CLOTHING</v>
      </c>
      <c r="P120" s="45" t="str">
        <f>LOWER(sales[[#This Row],[Department]])&amp;"@company.com"</f>
        <v>clothing@company.com</v>
      </c>
    </row>
    <row r="121" spans="1:16" x14ac:dyDescent="0.3">
      <c r="A121" s="15" t="s">
        <v>259</v>
      </c>
      <c r="B121" s="2" t="s">
        <v>49</v>
      </c>
      <c r="C121" s="2" t="s">
        <v>23</v>
      </c>
      <c r="D121" s="2" t="s">
        <v>13</v>
      </c>
      <c r="E121" s="2" t="s">
        <v>20</v>
      </c>
      <c r="F121" s="2">
        <v>47</v>
      </c>
      <c r="G121" s="8">
        <v>398.39</v>
      </c>
      <c r="H121" s="11">
        <f t="shared" si="3"/>
        <v>18724.329999999998</v>
      </c>
      <c r="I121" s="11">
        <v>39996</v>
      </c>
      <c r="J121" s="17">
        <v>0.12</v>
      </c>
      <c r="K121" s="31"/>
      <c r="L121" s="31" t="str">
        <f>IF(sales[[#This Row],[Target]]&gt;25000,"MET TARGET","BELOW TARGET")</f>
        <v>MET TARGET</v>
      </c>
      <c r="M121" s="31" t="str">
        <f>IF(sales[[#This Row],[Units_Sold]]&gt;100,"500","0")</f>
        <v>0</v>
      </c>
      <c r="N121" s="31" t="str">
        <f>RIGHT(sales[[#This Row],[Emp_ID]],4)</f>
        <v>1120</v>
      </c>
      <c r="O121" s="45" t="str">
        <f>UPPER(sales[[#This Row],[Department]])</f>
        <v>CLOTHING</v>
      </c>
      <c r="P121" s="45" t="str">
        <f>LOWER(sales[[#This Row],[Department]])&amp;"@company.com"</f>
        <v>clothing@company.com</v>
      </c>
    </row>
    <row r="122" spans="1:16" x14ac:dyDescent="0.3">
      <c r="A122" s="15" t="s">
        <v>260</v>
      </c>
      <c r="B122" s="1" t="s">
        <v>37</v>
      </c>
      <c r="C122" s="1" t="s">
        <v>38</v>
      </c>
      <c r="D122" s="1" t="s">
        <v>24</v>
      </c>
      <c r="E122" s="1" t="s">
        <v>35</v>
      </c>
      <c r="F122" s="1">
        <v>124</v>
      </c>
      <c r="G122" s="7">
        <v>347.45</v>
      </c>
      <c r="H122" s="10">
        <f t="shared" si="3"/>
        <v>43083.799999999996</v>
      </c>
      <c r="I122" s="10">
        <v>46857</v>
      </c>
      <c r="J122" s="16">
        <v>0.1</v>
      </c>
      <c r="K122" s="31"/>
      <c r="L122" s="31" t="str">
        <f>IF(sales[[#This Row],[Target]]&gt;25000,"MET TARGET","BELOW TARGET")</f>
        <v>MET TARGET</v>
      </c>
      <c r="M122" s="31" t="str">
        <f>IF(sales[[#This Row],[Units_Sold]]&gt;100,"500","0")</f>
        <v>500</v>
      </c>
      <c r="N122" s="31" t="str">
        <f>RIGHT(sales[[#This Row],[Emp_ID]],4)</f>
        <v>1121</v>
      </c>
      <c r="O122" s="45" t="str">
        <f>UPPER(sales[[#This Row],[Department]])</f>
        <v>FURNITURE</v>
      </c>
      <c r="P122" s="45" t="str">
        <f>LOWER(sales[[#This Row],[Department]])&amp;"@company.com"</f>
        <v>furniture@company.com</v>
      </c>
    </row>
    <row r="123" spans="1:16" x14ac:dyDescent="0.3">
      <c r="A123" s="15" t="s">
        <v>261</v>
      </c>
      <c r="B123" s="2" t="s">
        <v>61</v>
      </c>
      <c r="C123" s="2" t="s">
        <v>15</v>
      </c>
      <c r="D123" s="2" t="s">
        <v>19</v>
      </c>
      <c r="E123" s="2" t="s">
        <v>55</v>
      </c>
      <c r="F123" s="2">
        <v>117</v>
      </c>
      <c r="G123" s="8">
        <v>49.42</v>
      </c>
      <c r="H123" s="11">
        <f t="shared" si="3"/>
        <v>5782.14</v>
      </c>
      <c r="I123" s="11">
        <v>3612</v>
      </c>
      <c r="J123" s="17">
        <v>0.1</v>
      </c>
      <c r="K123" s="31"/>
      <c r="L123" s="31" t="str">
        <f>IF(sales[[#This Row],[Target]]&gt;25000,"MET TARGET","BELOW TARGET")</f>
        <v>BELOW TARGET</v>
      </c>
      <c r="M123" s="31" t="str">
        <f>IF(sales[[#This Row],[Units_Sold]]&gt;100,"500","0")</f>
        <v>500</v>
      </c>
      <c r="N123" s="31" t="str">
        <f>RIGHT(sales[[#This Row],[Emp_ID]],4)</f>
        <v>1122</v>
      </c>
      <c r="O123" s="45" t="str">
        <f>UPPER(sales[[#This Row],[Department]])</f>
        <v>GROCERY</v>
      </c>
      <c r="P123" s="45" t="str">
        <f>LOWER(sales[[#This Row],[Department]])&amp;"@company.com"</f>
        <v>grocery@company.com</v>
      </c>
    </row>
    <row r="124" spans="1:16" x14ac:dyDescent="0.3">
      <c r="A124" s="15" t="s">
        <v>262</v>
      </c>
      <c r="B124" s="1" t="s">
        <v>26</v>
      </c>
      <c r="C124" s="1" t="s">
        <v>38</v>
      </c>
      <c r="D124" s="1" t="s">
        <v>19</v>
      </c>
      <c r="E124" s="1" t="s">
        <v>29</v>
      </c>
      <c r="F124" s="1">
        <v>11</v>
      </c>
      <c r="G124" s="7">
        <v>54.75</v>
      </c>
      <c r="H124" s="10">
        <f t="shared" si="3"/>
        <v>602.25</v>
      </c>
      <c r="I124" s="10">
        <v>45190</v>
      </c>
      <c r="J124" s="16">
        <v>0.12</v>
      </c>
      <c r="K124" s="31"/>
      <c r="L124" s="31" t="str">
        <f>IF(sales[[#This Row],[Target]]&gt;25000,"MET TARGET","BELOW TARGET")</f>
        <v>MET TARGET</v>
      </c>
      <c r="M124" s="31" t="str">
        <f>IF(sales[[#This Row],[Units_Sold]]&gt;100,"500","0")</f>
        <v>0</v>
      </c>
      <c r="N124" s="31" t="str">
        <f>RIGHT(sales[[#This Row],[Emp_ID]],4)</f>
        <v>1123</v>
      </c>
      <c r="O124" s="45" t="str">
        <f>UPPER(sales[[#This Row],[Department]])</f>
        <v>FURNITURE</v>
      </c>
      <c r="P124" s="45" t="str">
        <f>LOWER(sales[[#This Row],[Department]])&amp;"@company.com"</f>
        <v>furniture@company.com</v>
      </c>
    </row>
    <row r="125" spans="1:16" x14ac:dyDescent="0.3">
      <c r="A125" s="15" t="s">
        <v>263</v>
      </c>
      <c r="B125" s="2" t="s">
        <v>45</v>
      </c>
      <c r="C125" s="2" t="s">
        <v>12</v>
      </c>
      <c r="D125" s="2" t="s">
        <v>28</v>
      </c>
      <c r="E125" s="2" t="s">
        <v>16</v>
      </c>
      <c r="F125" s="2">
        <v>15</v>
      </c>
      <c r="G125" s="8">
        <v>383.92</v>
      </c>
      <c r="H125" s="11">
        <f t="shared" si="3"/>
        <v>5758.8</v>
      </c>
      <c r="I125" s="11">
        <v>12481</v>
      </c>
      <c r="J125" s="17">
        <v>0.1</v>
      </c>
      <c r="K125" s="31"/>
      <c r="L125" s="31" t="str">
        <f>IF(sales[[#This Row],[Target]]&gt;25000,"MET TARGET","BELOW TARGET")</f>
        <v>BELOW TARGET</v>
      </c>
      <c r="M125" s="31" t="str">
        <f>IF(sales[[#This Row],[Units_Sold]]&gt;100,"500","0")</f>
        <v>0</v>
      </c>
      <c r="N125" s="31" t="str">
        <f>RIGHT(sales[[#This Row],[Emp_ID]],4)</f>
        <v>1124</v>
      </c>
      <c r="O125" s="45" t="str">
        <f>UPPER(sales[[#This Row],[Department]])</f>
        <v>ELECTRONICS</v>
      </c>
      <c r="P125" s="45" t="str">
        <f>LOWER(sales[[#This Row],[Department]])&amp;"@company.com"</f>
        <v>electronics@company.com</v>
      </c>
    </row>
    <row r="126" spans="1:16" x14ac:dyDescent="0.3">
      <c r="A126" s="15" t="s">
        <v>264</v>
      </c>
      <c r="B126" s="1" t="s">
        <v>34</v>
      </c>
      <c r="C126" s="1" t="s">
        <v>27</v>
      </c>
      <c r="D126" s="1" t="s">
        <v>28</v>
      </c>
      <c r="E126" s="1" t="s">
        <v>54</v>
      </c>
      <c r="F126" s="1">
        <v>154</v>
      </c>
      <c r="G126" s="7">
        <v>223.58</v>
      </c>
      <c r="H126" s="10">
        <f t="shared" si="3"/>
        <v>34431.32</v>
      </c>
      <c r="I126" s="10">
        <v>33225</v>
      </c>
      <c r="J126" s="16">
        <v>0.05</v>
      </c>
      <c r="K126" s="31"/>
      <c r="L126" s="31" t="str">
        <f>IF(sales[[#This Row],[Target]]&gt;25000,"MET TARGET","BELOW TARGET")</f>
        <v>MET TARGET</v>
      </c>
      <c r="M126" s="31" t="str">
        <f>IF(sales[[#This Row],[Units_Sold]]&gt;100,"500","0")</f>
        <v>500</v>
      </c>
      <c r="N126" s="31" t="str">
        <f>RIGHT(sales[[#This Row],[Emp_ID]],4)</f>
        <v>1125</v>
      </c>
      <c r="O126" s="45" t="str">
        <f>UPPER(sales[[#This Row],[Department]])</f>
        <v>SPORTS</v>
      </c>
      <c r="P126" s="45" t="str">
        <f>LOWER(sales[[#This Row],[Department]])&amp;"@company.com"</f>
        <v>sports@company.com</v>
      </c>
    </row>
    <row r="127" spans="1:16" x14ac:dyDescent="0.3">
      <c r="A127" s="15" t="s">
        <v>265</v>
      </c>
      <c r="B127" s="2" t="s">
        <v>57</v>
      </c>
      <c r="C127" s="2" t="s">
        <v>38</v>
      </c>
      <c r="D127" s="2" t="s">
        <v>24</v>
      </c>
      <c r="E127" s="2" t="s">
        <v>32</v>
      </c>
      <c r="F127" s="2">
        <v>87</v>
      </c>
      <c r="G127" s="8">
        <v>338.37</v>
      </c>
      <c r="H127" s="11">
        <f t="shared" si="3"/>
        <v>29438.19</v>
      </c>
      <c r="I127" s="11">
        <v>11539</v>
      </c>
      <c r="J127" s="17">
        <v>0.08</v>
      </c>
      <c r="K127" s="31"/>
      <c r="L127" s="31" t="str">
        <f>IF(sales[[#This Row],[Target]]&gt;25000,"MET TARGET","BELOW TARGET")</f>
        <v>BELOW TARGET</v>
      </c>
      <c r="M127" s="31" t="str">
        <f>IF(sales[[#This Row],[Units_Sold]]&gt;100,"500","0")</f>
        <v>0</v>
      </c>
      <c r="N127" s="31" t="str">
        <f>RIGHT(sales[[#This Row],[Emp_ID]],4)</f>
        <v>1126</v>
      </c>
      <c r="O127" s="45" t="str">
        <f>UPPER(sales[[#This Row],[Department]])</f>
        <v>FURNITURE</v>
      </c>
      <c r="P127" s="45" t="str">
        <f>LOWER(sales[[#This Row],[Department]])&amp;"@company.com"</f>
        <v>furniture@company.com</v>
      </c>
    </row>
    <row r="128" spans="1:16" x14ac:dyDescent="0.3">
      <c r="A128" s="15" t="s">
        <v>266</v>
      </c>
      <c r="B128" s="1" t="s">
        <v>22</v>
      </c>
      <c r="C128" s="1" t="s">
        <v>27</v>
      </c>
      <c r="D128" s="1" t="s">
        <v>28</v>
      </c>
      <c r="E128" s="1" t="s">
        <v>47</v>
      </c>
      <c r="F128" s="1">
        <v>107</v>
      </c>
      <c r="G128" s="7">
        <v>408.65</v>
      </c>
      <c r="H128" s="10">
        <f t="shared" si="3"/>
        <v>43725.549999999996</v>
      </c>
      <c r="I128" s="10">
        <v>37051</v>
      </c>
      <c r="J128" s="16">
        <v>0.05</v>
      </c>
      <c r="K128" s="31"/>
      <c r="L128" s="31" t="str">
        <f>IF(sales[[#This Row],[Target]]&gt;25000,"MET TARGET","BELOW TARGET")</f>
        <v>MET TARGET</v>
      </c>
      <c r="M128" s="31" t="str">
        <f>IF(sales[[#This Row],[Units_Sold]]&gt;100,"500","0")</f>
        <v>500</v>
      </c>
      <c r="N128" s="31" t="str">
        <f>RIGHT(sales[[#This Row],[Emp_ID]],4)</f>
        <v>1127</v>
      </c>
      <c r="O128" s="45" t="str">
        <f>UPPER(sales[[#This Row],[Department]])</f>
        <v>SPORTS</v>
      </c>
      <c r="P128" s="45" t="str">
        <f>LOWER(sales[[#This Row],[Department]])&amp;"@company.com"</f>
        <v>sports@company.com</v>
      </c>
    </row>
    <row r="129" spans="1:16" x14ac:dyDescent="0.3">
      <c r="A129" s="15" t="s">
        <v>267</v>
      </c>
      <c r="B129" s="2" t="s">
        <v>57</v>
      </c>
      <c r="C129" s="2" t="s">
        <v>12</v>
      </c>
      <c r="D129" s="2" t="s">
        <v>28</v>
      </c>
      <c r="E129" s="2" t="s">
        <v>29</v>
      </c>
      <c r="F129" s="2">
        <v>87</v>
      </c>
      <c r="G129" s="8">
        <v>66.8</v>
      </c>
      <c r="H129" s="11">
        <f t="shared" si="3"/>
        <v>5811.5999999999995</v>
      </c>
      <c r="I129" s="11">
        <v>27488</v>
      </c>
      <c r="J129" s="17">
        <v>0.12</v>
      </c>
      <c r="K129" s="31"/>
      <c r="L129" s="31" t="str">
        <f>IF(sales[[#This Row],[Target]]&gt;25000,"MET TARGET","BELOW TARGET")</f>
        <v>MET TARGET</v>
      </c>
      <c r="M129" s="31" t="str">
        <f>IF(sales[[#This Row],[Units_Sold]]&gt;100,"500","0")</f>
        <v>0</v>
      </c>
      <c r="N129" s="31" t="str">
        <f>RIGHT(sales[[#This Row],[Emp_ID]],4)</f>
        <v>1128</v>
      </c>
      <c r="O129" s="45" t="str">
        <f>UPPER(sales[[#This Row],[Department]])</f>
        <v>ELECTRONICS</v>
      </c>
      <c r="P129" s="45" t="str">
        <f>LOWER(sales[[#This Row],[Department]])&amp;"@company.com"</f>
        <v>electronics@company.com</v>
      </c>
    </row>
    <row r="130" spans="1:16" x14ac:dyDescent="0.3">
      <c r="A130" s="15" t="s">
        <v>268</v>
      </c>
      <c r="B130" s="1" t="s">
        <v>49</v>
      </c>
      <c r="C130" s="1" t="s">
        <v>12</v>
      </c>
      <c r="D130" s="1" t="s">
        <v>19</v>
      </c>
      <c r="E130" s="1" t="s">
        <v>55</v>
      </c>
      <c r="F130" s="1">
        <v>110</v>
      </c>
      <c r="G130" s="7">
        <v>36.56</v>
      </c>
      <c r="H130" s="10">
        <f t="shared" ref="H130:H161" si="4">F130*G130</f>
        <v>4021.6000000000004</v>
      </c>
      <c r="I130" s="10">
        <v>34976</v>
      </c>
      <c r="J130" s="16">
        <v>0.08</v>
      </c>
      <c r="K130" s="31"/>
      <c r="L130" s="31" t="str">
        <f>IF(sales[[#This Row],[Target]]&gt;25000,"MET TARGET","BELOW TARGET")</f>
        <v>MET TARGET</v>
      </c>
      <c r="M130" s="31" t="str">
        <f>IF(sales[[#This Row],[Units_Sold]]&gt;100,"500","0")</f>
        <v>500</v>
      </c>
      <c r="N130" s="31" t="str">
        <f>RIGHT(sales[[#This Row],[Emp_ID]],4)</f>
        <v>1129</v>
      </c>
      <c r="O130" s="45" t="str">
        <f>UPPER(sales[[#This Row],[Department]])</f>
        <v>ELECTRONICS</v>
      </c>
      <c r="P130" s="45" t="str">
        <f>LOWER(sales[[#This Row],[Department]])&amp;"@company.com"</f>
        <v>electronics@company.com</v>
      </c>
    </row>
    <row r="131" spans="1:16" x14ac:dyDescent="0.3">
      <c r="A131" s="15" t="s">
        <v>269</v>
      </c>
      <c r="B131" s="2" t="s">
        <v>45</v>
      </c>
      <c r="C131" s="2" t="s">
        <v>27</v>
      </c>
      <c r="D131" s="2" t="s">
        <v>24</v>
      </c>
      <c r="E131" s="2" t="s">
        <v>20</v>
      </c>
      <c r="F131" s="2">
        <v>57</v>
      </c>
      <c r="G131" s="8">
        <v>140.86000000000001</v>
      </c>
      <c r="H131" s="11">
        <f t="shared" si="4"/>
        <v>8029.02</v>
      </c>
      <c r="I131" s="11">
        <v>9586</v>
      </c>
      <c r="J131" s="17">
        <v>0.08</v>
      </c>
      <c r="K131" s="31"/>
      <c r="L131" s="31" t="str">
        <f>IF(sales[[#This Row],[Target]]&gt;25000,"MET TARGET","BELOW TARGET")</f>
        <v>BELOW TARGET</v>
      </c>
      <c r="M131" s="31" t="str">
        <f>IF(sales[[#This Row],[Units_Sold]]&gt;100,"500","0")</f>
        <v>0</v>
      </c>
      <c r="N131" s="31" t="str">
        <f>RIGHT(sales[[#This Row],[Emp_ID]],4)</f>
        <v>1130</v>
      </c>
      <c r="O131" s="45" t="str">
        <f>UPPER(sales[[#This Row],[Department]])</f>
        <v>SPORTS</v>
      </c>
      <c r="P131" s="45" t="str">
        <f>LOWER(sales[[#This Row],[Department]])&amp;"@company.com"</f>
        <v>sports@company.com</v>
      </c>
    </row>
    <row r="132" spans="1:16" x14ac:dyDescent="0.3">
      <c r="A132" s="15" t="s">
        <v>270</v>
      </c>
      <c r="B132" s="1" t="s">
        <v>57</v>
      </c>
      <c r="C132" s="1" t="s">
        <v>27</v>
      </c>
      <c r="D132" s="1" t="s">
        <v>13</v>
      </c>
      <c r="E132" s="1" t="s">
        <v>20</v>
      </c>
      <c r="F132" s="1">
        <v>166</v>
      </c>
      <c r="G132" s="7">
        <v>308.35000000000002</v>
      </c>
      <c r="H132" s="10">
        <f t="shared" si="4"/>
        <v>51186.100000000006</v>
      </c>
      <c r="I132" s="10">
        <v>16682</v>
      </c>
      <c r="J132" s="16">
        <v>7.0000000000000007E-2</v>
      </c>
      <c r="K132" s="31"/>
      <c r="L132" s="31" t="str">
        <f>IF(sales[[#This Row],[Target]]&gt;25000,"MET TARGET","BELOW TARGET")</f>
        <v>BELOW TARGET</v>
      </c>
      <c r="M132" s="31" t="str">
        <f>IF(sales[[#This Row],[Units_Sold]]&gt;100,"500","0")</f>
        <v>500</v>
      </c>
      <c r="N132" s="31" t="str">
        <f>RIGHT(sales[[#This Row],[Emp_ID]],4)</f>
        <v>1131</v>
      </c>
      <c r="O132" s="45" t="str">
        <f>UPPER(sales[[#This Row],[Department]])</f>
        <v>SPORTS</v>
      </c>
      <c r="P132" s="45" t="str">
        <f>LOWER(sales[[#This Row],[Department]])&amp;"@company.com"</f>
        <v>sports@company.com</v>
      </c>
    </row>
    <row r="133" spans="1:16" x14ac:dyDescent="0.3">
      <c r="A133" s="15" t="s">
        <v>271</v>
      </c>
      <c r="B133" s="2" t="s">
        <v>61</v>
      </c>
      <c r="C133" s="2" t="s">
        <v>15</v>
      </c>
      <c r="D133" s="2" t="s">
        <v>13</v>
      </c>
      <c r="E133" s="2" t="s">
        <v>53</v>
      </c>
      <c r="F133" s="2">
        <v>109</v>
      </c>
      <c r="G133" s="8">
        <v>55.67</v>
      </c>
      <c r="H133" s="11">
        <f t="shared" si="4"/>
        <v>6068.03</v>
      </c>
      <c r="I133" s="11">
        <v>8435</v>
      </c>
      <c r="J133" s="17">
        <v>0.1</v>
      </c>
      <c r="K133" s="31"/>
      <c r="L133" s="31" t="str">
        <f>IF(sales[[#This Row],[Target]]&gt;25000,"MET TARGET","BELOW TARGET")</f>
        <v>BELOW TARGET</v>
      </c>
      <c r="M133" s="31" t="str">
        <f>IF(sales[[#This Row],[Units_Sold]]&gt;100,"500","0")</f>
        <v>500</v>
      </c>
      <c r="N133" s="31" t="str">
        <f>RIGHT(sales[[#This Row],[Emp_ID]],4)</f>
        <v>1132</v>
      </c>
      <c r="O133" s="45" t="str">
        <f>UPPER(sales[[#This Row],[Department]])</f>
        <v>GROCERY</v>
      </c>
      <c r="P133" s="45" t="str">
        <f>LOWER(sales[[#This Row],[Department]])&amp;"@company.com"</f>
        <v>grocery@company.com</v>
      </c>
    </row>
    <row r="134" spans="1:16" x14ac:dyDescent="0.3">
      <c r="A134" s="15" t="s">
        <v>272</v>
      </c>
      <c r="B134" s="1" t="s">
        <v>31</v>
      </c>
      <c r="C134" s="1" t="s">
        <v>23</v>
      </c>
      <c r="D134" s="1" t="s">
        <v>24</v>
      </c>
      <c r="E134" s="1" t="s">
        <v>14</v>
      </c>
      <c r="F134" s="1">
        <v>79</v>
      </c>
      <c r="G134" s="7">
        <v>259.35000000000002</v>
      </c>
      <c r="H134" s="10">
        <f t="shared" si="4"/>
        <v>20488.650000000001</v>
      </c>
      <c r="I134" s="10">
        <v>18919</v>
      </c>
      <c r="J134" s="16">
        <v>0.1</v>
      </c>
      <c r="K134" s="31"/>
      <c r="L134" s="31" t="str">
        <f>IF(sales[[#This Row],[Target]]&gt;25000,"MET TARGET","BELOW TARGET")</f>
        <v>BELOW TARGET</v>
      </c>
      <c r="M134" s="31" t="str">
        <f>IF(sales[[#This Row],[Units_Sold]]&gt;100,"500","0")</f>
        <v>0</v>
      </c>
      <c r="N134" s="31" t="str">
        <f>RIGHT(sales[[#This Row],[Emp_ID]],4)</f>
        <v>1133</v>
      </c>
      <c r="O134" s="45" t="str">
        <f>UPPER(sales[[#This Row],[Department]])</f>
        <v>CLOTHING</v>
      </c>
      <c r="P134" s="45" t="str">
        <f>LOWER(sales[[#This Row],[Department]])&amp;"@company.com"</f>
        <v>clothing@company.com</v>
      </c>
    </row>
    <row r="135" spans="1:16" x14ac:dyDescent="0.3">
      <c r="A135" s="15" t="s">
        <v>273</v>
      </c>
      <c r="B135" s="2" t="s">
        <v>49</v>
      </c>
      <c r="C135" s="2" t="s">
        <v>27</v>
      </c>
      <c r="D135" s="2" t="s">
        <v>24</v>
      </c>
      <c r="E135" s="2" t="s">
        <v>39</v>
      </c>
      <c r="F135" s="2">
        <v>121</v>
      </c>
      <c r="G135" s="8">
        <v>280.12</v>
      </c>
      <c r="H135" s="11">
        <f t="shared" si="4"/>
        <v>33894.520000000004</v>
      </c>
      <c r="I135" s="11">
        <v>26138</v>
      </c>
      <c r="J135" s="17">
        <v>7.0000000000000007E-2</v>
      </c>
      <c r="K135" s="31"/>
      <c r="L135" s="31" t="str">
        <f>IF(sales[[#This Row],[Target]]&gt;25000,"MET TARGET","BELOW TARGET")</f>
        <v>MET TARGET</v>
      </c>
      <c r="M135" s="31" t="str">
        <f>IF(sales[[#This Row],[Units_Sold]]&gt;100,"500","0")</f>
        <v>500</v>
      </c>
      <c r="N135" s="31" t="str">
        <f>RIGHT(sales[[#This Row],[Emp_ID]],4)</f>
        <v>1134</v>
      </c>
      <c r="O135" s="45" t="str">
        <f>UPPER(sales[[#This Row],[Department]])</f>
        <v>SPORTS</v>
      </c>
      <c r="P135" s="45" t="str">
        <f>LOWER(sales[[#This Row],[Department]])&amp;"@company.com"</f>
        <v>sports@company.com</v>
      </c>
    </row>
    <row r="136" spans="1:16" x14ac:dyDescent="0.3">
      <c r="A136" s="15" t="s">
        <v>274</v>
      </c>
      <c r="B136" s="1" t="s">
        <v>37</v>
      </c>
      <c r="C136" s="1" t="s">
        <v>15</v>
      </c>
      <c r="D136" s="1" t="s">
        <v>19</v>
      </c>
      <c r="E136" s="1" t="s">
        <v>14</v>
      </c>
      <c r="F136" s="1">
        <v>39</v>
      </c>
      <c r="G136" s="7">
        <v>433.37</v>
      </c>
      <c r="H136" s="10">
        <f t="shared" si="4"/>
        <v>16901.43</v>
      </c>
      <c r="I136" s="10">
        <v>19104</v>
      </c>
      <c r="J136" s="16">
        <v>0.1</v>
      </c>
      <c r="K136" s="31"/>
      <c r="L136" s="31" t="str">
        <f>IF(sales[[#This Row],[Target]]&gt;25000,"MET TARGET","BELOW TARGET")</f>
        <v>BELOW TARGET</v>
      </c>
      <c r="M136" s="31" t="str">
        <f>IF(sales[[#This Row],[Units_Sold]]&gt;100,"500","0")</f>
        <v>0</v>
      </c>
      <c r="N136" s="31" t="str">
        <f>RIGHT(sales[[#This Row],[Emp_ID]],4)</f>
        <v>1135</v>
      </c>
      <c r="O136" s="45" t="str">
        <f>UPPER(sales[[#This Row],[Department]])</f>
        <v>GROCERY</v>
      </c>
      <c r="P136" s="45" t="str">
        <f>LOWER(sales[[#This Row],[Department]])&amp;"@company.com"</f>
        <v>grocery@company.com</v>
      </c>
    </row>
    <row r="137" spans="1:16" x14ac:dyDescent="0.3">
      <c r="A137" s="15" t="s">
        <v>275</v>
      </c>
      <c r="B137" s="2" t="s">
        <v>52</v>
      </c>
      <c r="C137" s="2" t="s">
        <v>15</v>
      </c>
      <c r="D137" s="2" t="s">
        <v>28</v>
      </c>
      <c r="E137" s="2" t="s">
        <v>20</v>
      </c>
      <c r="F137" s="2">
        <v>77</v>
      </c>
      <c r="G137" s="8">
        <v>365.76</v>
      </c>
      <c r="H137" s="11">
        <f t="shared" si="4"/>
        <v>28163.52</v>
      </c>
      <c r="I137" s="11">
        <v>39465</v>
      </c>
      <c r="J137" s="17">
        <v>0.12</v>
      </c>
      <c r="K137" s="31"/>
      <c r="L137" s="31" t="str">
        <f>IF(sales[[#This Row],[Target]]&gt;25000,"MET TARGET","BELOW TARGET")</f>
        <v>MET TARGET</v>
      </c>
      <c r="M137" s="31" t="str">
        <f>IF(sales[[#This Row],[Units_Sold]]&gt;100,"500","0")</f>
        <v>0</v>
      </c>
      <c r="N137" s="31" t="str">
        <f>RIGHT(sales[[#This Row],[Emp_ID]],4)</f>
        <v>1136</v>
      </c>
      <c r="O137" s="45" t="str">
        <f>UPPER(sales[[#This Row],[Department]])</f>
        <v>GROCERY</v>
      </c>
      <c r="P137" s="45" t="str">
        <f>LOWER(sales[[#This Row],[Department]])&amp;"@company.com"</f>
        <v>grocery@company.com</v>
      </c>
    </row>
    <row r="138" spans="1:16" x14ac:dyDescent="0.3">
      <c r="A138" s="15" t="s">
        <v>276</v>
      </c>
      <c r="B138" s="1" t="s">
        <v>11</v>
      </c>
      <c r="C138" s="1" t="s">
        <v>27</v>
      </c>
      <c r="D138" s="1" t="s">
        <v>46</v>
      </c>
      <c r="E138" s="1" t="s">
        <v>55</v>
      </c>
      <c r="F138" s="1">
        <v>142</v>
      </c>
      <c r="G138" s="7">
        <v>247.33</v>
      </c>
      <c r="H138" s="10">
        <f t="shared" si="4"/>
        <v>35120.86</v>
      </c>
      <c r="I138" s="10">
        <v>22786</v>
      </c>
      <c r="J138" s="16">
        <v>0.12</v>
      </c>
      <c r="K138" s="31"/>
      <c r="L138" s="31" t="str">
        <f>IF(sales[[#This Row],[Target]]&gt;25000,"MET TARGET","BELOW TARGET")</f>
        <v>BELOW TARGET</v>
      </c>
      <c r="M138" s="31" t="str">
        <f>IF(sales[[#This Row],[Units_Sold]]&gt;100,"500","0")</f>
        <v>500</v>
      </c>
      <c r="N138" s="31" t="str">
        <f>RIGHT(sales[[#This Row],[Emp_ID]],4)</f>
        <v>1137</v>
      </c>
      <c r="O138" s="45" t="str">
        <f>UPPER(sales[[#This Row],[Department]])</f>
        <v>SPORTS</v>
      </c>
      <c r="P138" s="45" t="str">
        <f>LOWER(sales[[#This Row],[Department]])&amp;"@company.com"</f>
        <v>sports@company.com</v>
      </c>
    </row>
    <row r="139" spans="1:16" x14ac:dyDescent="0.3">
      <c r="A139" s="15" t="s">
        <v>277</v>
      </c>
      <c r="B139" s="2" t="s">
        <v>41</v>
      </c>
      <c r="C139" s="2" t="s">
        <v>15</v>
      </c>
      <c r="D139" s="2" t="s">
        <v>24</v>
      </c>
      <c r="E139" s="2" t="s">
        <v>55</v>
      </c>
      <c r="F139" s="2">
        <v>87</v>
      </c>
      <c r="G139" s="8">
        <v>436.1</v>
      </c>
      <c r="H139" s="11">
        <f t="shared" si="4"/>
        <v>37940.700000000004</v>
      </c>
      <c r="I139" s="11">
        <v>46711</v>
      </c>
      <c r="J139" s="17">
        <v>7.0000000000000007E-2</v>
      </c>
      <c r="K139" s="31"/>
      <c r="L139" s="31" t="str">
        <f>IF(sales[[#This Row],[Target]]&gt;25000,"MET TARGET","BELOW TARGET")</f>
        <v>MET TARGET</v>
      </c>
      <c r="M139" s="31" t="str">
        <f>IF(sales[[#This Row],[Units_Sold]]&gt;100,"500","0")</f>
        <v>0</v>
      </c>
      <c r="N139" s="31" t="str">
        <f>RIGHT(sales[[#This Row],[Emp_ID]],4)</f>
        <v>1138</v>
      </c>
      <c r="O139" s="45" t="str">
        <f>UPPER(sales[[#This Row],[Department]])</f>
        <v>GROCERY</v>
      </c>
      <c r="P139" s="45" t="str">
        <f>LOWER(sales[[#This Row],[Department]])&amp;"@company.com"</f>
        <v>grocery@company.com</v>
      </c>
    </row>
    <row r="140" spans="1:16" x14ac:dyDescent="0.3">
      <c r="A140" s="15" t="s">
        <v>278</v>
      </c>
      <c r="B140" s="1" t="s">
        <v>45</v>
      </c>
      <c r="C140" s="1" t="s">
        <v>27</v>
      </c>
      <c r="D140" s="1" t="s">
        <v>46</v>
      </c>
      <c r="E140" s="1" t="s">
        <v>50</v>
      </c>
      <c r="F140" s="1">
        <v>16</v>
      </c>
      <c r="G140" s="7">
        <v>165.91</v>
      </c>
      <c r="H140" s="10">
        <f t="shared" si="4"/>
        <v>2654.56</v>
      </c>
      <c r="I140" s="10">
        <v>31996</v>
      </c>
      <c r="J140" s="16">
        <v>0.1</v>
      </c>
      <c r="K140" s="31"/>
      <c r="L140" s="31" t="str">
        <f>IF(sales[[#This Row],[Target]]&gt;25000,"MET TARGET","BELOW TARGET")</f>
        <v>MET TARGET</v>
      </c>
      <c r="M140" s="31" t="str">
        <f>IF(sales[[#This Row],[Units_Sold]]&gt;100,"500","0")</f>
        <v>0</v>
      </c>
      <c r="N140" s="31" t="str">
        <f>RIGHT(sales[[#This Row],[Emp_ID]],4)</f>
        <v>1139</v>
      </c>
      <c r="O140" s="45" t="str">
        <f>UPPER(sales[[#This Row],[Department]])</f>
        <v>SPORTS</v>
      </c>
      <c r="P140" s="45" t="str">
        <f>LOWER(sales[[#This Row],[Department]])&amp;"@company.com"</f>
        <v>sports@company.com</v>
      </c>
    </row>
    <row r="141" spans="1:16" x14ac:dyDescent="0.3">
      <c r="A141" s="15" t="s">
        <v>279</v>
      </c>
      <c r="B141" s="2" t="s">
        <v>22</v>
      </c>
      <c r="C141" s="2" t="s">
        <v>23</v>
      </c>
      <c r="D141" s="2" t="s">
        <v>24</v>
      </c>
      <c r="E141" s="2" t="s">
        <v>20</v>
      </c>
      <c r="F141" s="2">
        <v>37</v>
      </c>
      <c r="G141" s="8">
        <v>256.12</v>
      </c>
      <c r="H141" s="11">
        <f t="shared" si="4"/>
        <v>9476.44</v>
      </c>
      <c r="I141" s="11">
        <v>39678</v>
      </c>
      <c r="J141" s="17">
        <v>0.08</v>
      </c>
      <c r="K141" s="31"/>
      <c r="L141" s="31" t="str">
        <f>IF(sales[[#This Row],[Target]]&gt;25000,"MET TARGET","BELOW TARGET")</f>
        <v>MET TARGET</v>
      </c>
      <c r="M141" s="31" t="str">
        <f>IF(sales[[#This Row],[Units_Sold]]&gt;100,"500","0")</f>
        <v>0</v>
      </c>
      <c r="N141" s="31" t="str">
        <f>RIGHT(sales[[#This Row],[Emp_ID]],4)</f>
        <v>1140</v>
      </c>
      <c r="O141" s="45" t="str">
        <f>UPPER(sales[[#This Row],[Department]])</f>
        <v>CLOTHING</v>
      </c>
      <c r="P141" s="45" t="str">
        <f>LOWER(sales[[#This Row],[Department]])&amp;"@company.com"</f>
        <v>clothing@company.com</v>
      </c>
    </row>
    <row r="142" spans="1:16" x14ac:dyDescent="0.3">
      <c r="A142" s="15" t="s">
        <v>280</v>
      </c>
      <c r="B142" s="1" t="s">
        <v>49</v>
      </c>
      <c r="C142" s="1" t="s">
        <v>12</v>
      </c>
      <c r="D142" s="1" t="s">
        <v>24</v>
      </c>
      <c r="E142" s="1" t="s">
        <v>35</v>
      </c>
      <c r="F142" s="1">
        <v>139</v>
      </c>
      <c r="G142" s="7">
        <v>456.12</v>
      </c>
      <c r="H142" s="10">
        <f t="shared" si="4"/>
        <v>63400.68</v>
      </c>
      <c r="I142" s="10">
        <v>2005</v>
      </c>
      <c r="J142" s="16">
        <v>7.0000000000000007E-2</v>
      </c>
      <c r="K142" s="31"/>
      <c r="L142" s="31" t="str">
        <f>IF(sales[[#This Row],[Target]]&gt;25000,"MET TARGET","BELOW TARGET")</f>
        <v>BELOW TARGET</v>
      </c>
      <c r="M142" s="31" t="str">
        <f>IF(sales[[#This Row],[Units_Sold]]&gt;100,"500","0")</f>
        <v>500</v>
      </c>
      <c r="N142" s="31" t="str">
        <f>RIGHT(sales[[#This Row],[Emp_ID]],4)</f>
        <v>1141</v>
      </c>
      <c r="O142" s="45" t="str">
        <f>UPPER(sales[[#This Row],[Department]])</f>
        <v>ELECTRONICS</v>
      </c>
      <c r="P142" s="45" t="str">
        <f>LOWER(sales[[#This Row],[Department]])&amp;"@company.com"</f>
        <v>electronics@company.com</v>
      </c>
    </row>
    <row r="143" spans="1:16" x14ac:dyDescent="0.3">
      <c r="A143" s="15" t="s">
        <v>281</v>
      </c>
      <c r="B143" s="2" t="s">
        <v>22</v>
      </c>
      <c r="C143" s="2" t="s">
        <v>23</v>
      </c>
      <c r="D143" s="2" t="s">
        <v>13</v>
      </c>
      <c r="E143" s="2" t="s">
        <v>55</v>
      </c>
      <c r="F143" s="2">
        <v>72</v>
      </c>
      <c r="G143" s="8">
        <v>175.9</v>
      </c>
      <c r="H143" s="11">
        <f t="shared" si="4"/>
        <v>12664.800000000001</v>
      </c>
      <c r="I143" s="11">
        <v>46397</v>
      </c>
      <c r="J143" s="17">
        <v>0.1</v>
      </c>
      <c r="K143" s="31"/>
      <c r="L143" s="31" t="str">
        <f>IF(sales[[#This Row],[Target]]&gt;25000,"MET TARGET","BELOW TARGET")</f>
        <v>MET TARGET</v>
      </c>
      <c r="M143" s="31" t="str">
        <f>IF(sales[[#This Row],[Units_Sold]]&gt;100,"500","0")</f>
        <v>0</v>
      </c>
      <c r="N143" s="31" t="str">
        <f>RIGHT(sales[[#This Row],[Emp_ID]],4)</f>
        <v>1142</v>
      </c>
      <c r="O143" s="45" t="str">
        <f>UPPER(sales[[#This Row],[Department]])</f>
        <v>CLOTHING</v>
      </c>
      <c r="P143" s="45" t="str">
        <f>LOWER(sales[[#This Row],[Department]])&amp;"@company.com"</f>
        <v>clothing@company.com</v>
      </c>
    </row>
    <row r="144" spans="1:16" x14ac:dyDescent="0.3">
      <c r="A144" s="15" t="s">
        <v>282</v>
      </c>
      <c r="B144" s="1" t="s">
        <v>11</v>
      </c>
      <c r="C144" s="1" t="s">
        <v>12</v>
      </c>
      <c r="D144" s="1" t="s">
        <v>28</v>
      </c>
      <c r="E144" s="1" t="s">
        <v>47</v>
      </c>
      <c r="F144" s="1">
        <v>141</v>
      </c>
      <c r="G144" s="7">
        <v>196.2</v>
      </c>
      <c r="H144" s="10">
        <f t="shared" si="4"/>
        <v>27664.199999999997</v>
      </c>
      <c r="I144" s="10">
        <v>21752</v>
      </c>
      <c r="J144" s="16">
        <v>0.1</v>
      </c>
      <c r="K144" s="31"/>
      <c r="L144" s="31" t="str">
        <f>IF(sales[[#This Row],[Target]]&gt;25000,"MET TARGET","BELOW TARGET")</f>
        <v>BELOW TARGET</v>
      </c>
      <c r="M144" s="31" t="str">
        <f>IF(sales[[#This Row],[Units_Sold]]&gt;100,"500","0")</f>
        <v>500</v>
      </c>
      <c r="N144" s="31" t="str">
        <f>RIGHT(sales[[#This Row],[Emp_ID]],4)</f>
        <v>1143</v>
      </c>
      <c r="O144" s="45" t="str">
        <f>UPPER(sales[[#This Row],[Department]])</f>
        <v>ELECTRONICS</v>
      </c>
      <c r="P144" s="45" t="str">
        <f>LOWER(sales[[#This Row],[Department]])&amp;"@company.com"</f>
        <v>electronics@company.com</v>
      </c>
    </row>
    <row r="145" spans="1:16" x14ac:dyDescent="0.3">
      <c r="A145" s="15" t="s">
        <v>283</v>
      </c>
      <c r="B145" s="2" t="s">
        <v>49</v>
      </c>
      <c r="C145" s="2" t="s">
        <v>15</v>
      </c>
      <c r="D145" s="2" t="s">
        <v>13</v>
      </c>
      <c r="E145" s="2" t="s">
        <v>16</v>
      </c>
      <c r="F145" s="2">
        <v>22</v>
      </c>
      <c r="G145" s="8">
        <v>125.04</v>
      </c>
      <c r="H145" s="11">
        <f t="shared" si="4"/>
        <v>2750.88</v>
      </c>
      <c r="I145" s="11">
        <v>45852</v>
      </c>
      <c r="J145" s="17">
        <v>0.08</v>
      </c>
      <c r="K145" s="31"/>
      <c r="L145" s="31" t="str">
        <f>IF(sales[[#This Row],[Target]]&gt;25000,"MET TARGET","BELOW TARGET")</f>
        <v>MET TARGET</v>
      </c>
      <c r="M145" s="31" t="str">
        <f>IF(sales[[#This Row],[Units_Sold]]&gt;100,"500","0")</f>
        <v>0</v>
      </c>
      <c r="N145" s="31" t="str">
        <f>RIGHT(sales[[#This Row],[Emp_ID]],4)</f>
        <v>1144</v>
      </c>
      <c r="O145" s="45" t="str">
        <f>UPPER(sales[[#This Row],[Department]])</f>
        <v>GROCERY</v>
      </c>
      <c r="P145" s="45" t="str">
        <f>LOWER(sales[[#This Row],[Department]])&amp;"@company.com"</f>
        <v>grocery@company.com</v>
      </c>
    </row>
    <row r="146" spans="1:16" x14ac:dyDescent="0.3">
      <c r="A146" s="15" t="s">
        <v>284</v>
      </c>
      <c r="B146" s="1" t="s">
        <v>18</v>
      </c>
      <c r="C146" s="1" t="s">
        <v>12</v>
      </c>
      <c r="D146" s="1" t="s">
        <v>24</v>
      </c>
      <c r="E146" s="1" t="s">
        <v>35</v>
      </c>
      <c r="F146" s="1">
        <v>199</v>
      </c>
      <c r="G146" s="7">
        <v>320.54000000000002</v>
      </c>
      <c r="H146" s="10">
        <f t="shared" si="4"/>
        <v>63787.460000000006</v>
      </c>
      <c r="I146" s="10">
        <v>7586</v>
      </c>
      <c r="J146" s="16">
        <v>0.1</v>
      </c>
      <c r="K146" s="31"/>
      <c r="L146" s="31" t="str">
        <f>IF(sales[[#This Row],[Target]]&gt;25000,"MET TARGET","BELOW TARGET")</f>
        <v>BELOW TARGET</v>
      </c>
      <c r="M146" s="31" t="str">
        <f>IF(sales[[#This Row],[Units_Sold]]&gt;100,"500","0")</f>
        <v>500</v>
      </c>
      <c r="N146" s="31" t="str">
        <f>RIGHT(sales[[#This Row],[Emp_ID]],4)</f>
        <v>1145</v>
      </c>
      <c r="O146" s="45" t="str">
        <f>UPPER(sales[[#This Row],[Department]])</f>
        <v>ELECTRONICS</v>
      </c>
      <c r="P146" s="45" t="str">
        <f>LOWER(sales[[#This Row],[Department]])&amp;"@company.com"</f>
        <v>electronics@company.com</v>
      </c>
    </row>
    <row r="147" spans="1:16" x14ac:dyDescent="0.3">
      <c r="A147" s="15" t="s">
        <v>285</v>
      </c>
      <c r="B147" s="2" t="s">
        <v>43</v>
      </c>
      <c r="C147" s="2" t="s">
        <v>38</v>
      </c>
      <c r="D147" s="2" t="s">
        <v>13</v>
      </c>
      <c r="E147" s="2" t="s">
        <v>20</v>
      </c>
      <c r="F147" s="2">
        <v>88</v>
      </c>
      <c r="G147" s="8">
        <v>400.11</v>
      </c>
      <c r="H147" s="11">
        <f t="shared" si="4"/>
        <v>35209.68</v>
      </c>
      <c r="I147" s="11">
        <v>20226</v>
      </c>
      <c r="J147" s="17">
        <v>0.08</v>
      </c>
      <c r="K147" s="31"/>
      <c r="L147" s="31" t="str">
        <f>IF(sales[[#This Row],[Target]]&gt;25000,"MET TARGET","BELOW TARGET")</f>
        <v>BELOW TARGET</v>
      </c>
      <c r="M147" s="31" t="str">
        <f>IF(sales[[#This Row],[Units_Sold]]&gt;100,"500","0")</f>
        <v>0</v>
      </c>
      <c r="N147" s="31" t="str">
        <f>RIGHT(sales[[#This Row],[Emp_ID]],4)</f>
        <v>1146</v>
      </c>
      <c r="O147" s="45" t="str">
        <f>UPPER(sales[[#This Row],[Department]])</f>
        <v>FURNITURE</v>
      </c>
      <c r="P147" s="45" t="str">
        <f>LOWER(sales[[#This Row],[Department]])&amp;"@company.com"</f>
        <v>furniture@company.com</v>
      </c>
    </row>
    <row r="148" spans="1:16" x14ac:dyDescent="0.3">
      <c r="A148" s="15" t="s">
        <v>286</v>
      </c>
      <c r="B148" s="1" t="s">
        <v>52</v>
      </c>
      <c r="C148" s="1" t="s">
        <v>27</v>
      </c>
      <c r="D148" s="1" t="s">
        <v>46</v>
      </c>
      <c r="E148" s="1" t="s">
        <v>39</v>
      </c>
      <c r="F148" s="1">
        <v>140</v>
      </c>
      <c r="G148" s="7">
        <v>211.91</v>
      </c>
      <c r="H148" s="10">
        <f t="shared" si="4"/>
        <v>29667.399999999998</v>
      </c>
      <c r="I148" s="10">
        <v>45682</v>
      </c>
      <c r="J148" s="16">
        <v>7.0000000000000007E-2</v>
      </c>
      <c r="K148" s="31"/>
      <c r="L148" s="31" t="str">
        <f>IF(sales[[#This Row],[Target]]&gt;25000,"MET TARGET","BELOW TARGET")</f>
        <v>MET TARGET</v>
      </c>
      <c r="M148" s="31" t="str">
        <f>IF(sales[[#This Row],[Units_Sold]]&gt;100,"500","0")</f>
        <v>500</v>
      </c>
      <c r="N148" s="31" t="str">
        <f>RIGHT(sales[[#This Row],[Emp_ID]],4)</f>
        <v>1147</v>
      </c>
      <c r="O148" s="45" t="str">
        <f>UPPER(sales[[#This Row],[Department]])</f>
        <v>SPORTS</v>
      </c>
      <c r="P148" s="45" t="str">
        <f>LOWER(sales[[#This Row],[Department]])&amp;"@company.com"</f>
        <v>sports@company.com</v>
      </c>
    </row>
    <row r="149" spans="1:16" x14ac:dyDescent="0.3">
      <c r="A149" s="15" t="s">
        <v>287</v>
      </c>
      <c r="B149" s="2" t="s">
        <v>43</v>
      </c>
      <c r="C149" s="2" t="s">
        <v>23</v>
      </c>
      <c r="D149" s="2" t="s">
        <v>13</v>
      </c>
      <c r="E149" s="2" t="s">
        <v>16</v>
      </c>
      <c r="F149" s="2">
        <v>102</v>
      </c>
      <c r="G149" s="8">
        <v>313.66000000000003</v>
      </c>
      <c r="H149" s="11">
        <f t="shared" si="4"/>
        <v>31993.320000000003</v>
      </c>
      <c r="I149" s="11">
        <v>16783</v>
      </c>
      <c r="J149" s="17">
        <v>0.1</v>
      </c>
      <c r="K149" s="31"/>
      <c r="L149" s="31" t="str">
        <f>IF(sales[[#This Row],[Target]]&gt;25000,"MET TARGET","BELOW TARGET")</f>
        <v>BELOW TARGET</v>
      </c>
      <c r="M149" s="31" t="str">
        <f>IF(sales[[#This Row],[Units_Sold]]&gt;100,"500","0")</f>
        <v>500</v>
      </c>
      <c r="N149" s="31" t="str">
        <f>RIGHT(sales[[#This Row],[Emp_ID]],4)</f>
        <v>1148</v>
      </c>
      <c r="O149" s="45" t="str">
        <f>UPPER(sales[[#This Row],[Department]])</f>
        <v>CLOTHING</v>
      </c>
      <c r="P149" s="45" t="str">
        <f>LOWER(sales[[#This Row],[Department]])&amp;"@company.com"</f>
        <v>clothing@company.com</v>
      </c>
    </row>
    <row r="150" spans="1:16" x14ac:dyDescent="0.3">
      <c r="A150" s="15" t="s">
        <v>288</v>
      </c>
      <c r="B150" s="1" t="s">
        <v>37</v>
      </c>
      <c r="C150" s="1" t="s">
        <v>15</v>
      </c>
      <c r="D150" s="1" t="s">
        <v>46</v>
      </c>
      <c r="E150" s="1" t="s">
        <v>39</v>
      </c>
      <c r="F150" s="1">
        <v>123</v>
      </c>
      <c r="G150" s="7">
        <v>322.57</v>
      </c>
      <c r="H150" s="10">
        <f t="shared" si="4"/>
        <v>39676.11</v>
      </c>
      <c r="I150" s="10">
        <v>31118</v>
      </c>
      <c r="J150" s="16">
        <v>0.08</v>
      </c>
      <c r="K150" s="31"/>
      <c r="L150" s="31" t="str">
        <f>IF(sales[[#This Row],[Target]]&gt;25000,"MET TARGET","BELOW TARGET")</f>
        <v>MET TARGET</v>
      </c>
      <c r="M150" s="31" t="str">
        <f>IF(sales[[#This Row],[Units_Sold]]&gt;100,"500","0")</f>
        <v>500</v>
      </c>
      <c r="N150" s="31" t="str">
        <f>RIGHT(sales[[#This Row],[Emp_ID]],4)</f>
        <v>1149</v>
      </c>
      <c r="O150" s="45" t="str">
        <f>UPPER(sales[[#This Row],[Department]])</f>
        <v>GROCERY</v>
      </c>
      <c r="P150" s="45" t="str">
        <f>LOWER(sales[[#This Row],[Department]])&amp;"@company.com"</f>
        <v>grocery@company.com</v>
      </c>
    </row>
    <row r="151" spans="1:16" x14ac:dyDescent="0.3">
      <c r="A151" s="15" t="s">
        <v>289</v>
      </c>
      <c r="B151" s="2" t="s">
        <v>11</v>
      </c>
      <c r="C151" s="2" t="s">
        <v>12</v>
      </c>
      <c r="D151" s="2" t="s">
        <v>24</v>
      </c>
      <c r="E151" s="2" t="s">
        <v>29</v>
      </c>
      <c r="F151" s="2">
        <v>178</v>
      </c>
      <c r="G151" s="8">
        <v>277.83</v>
      </c>
      <c r="H151" s="11">
        <f t="shared" si="4"/>
        <v>49453.74</v>
      </c>
      <c r="I151" s="11">
        <v>5840</v>
      </c>
      <c r="J151" s="17">
        <v>0.1</v>
      </c>
      <c r="K151" s="31"/>
      <c r="L151" s="31" t="str">
        <f>IF(sales[[#This Row],[Target]]&gt;25000,"MET TARGET","BELOW TARGET")</f>
        <v>BELOW TARGET</v>
      </c>
      <c r="M151" s="31" t="str">
        <f>IF(sales[[#This Row],[Units_Sold]]&gt;100,"500","0")</f>
        <v>500</v>
      </c>
      <c r="N151" s="31" t="str">
        <f>RIGHT(sales[[#This Row],[Emp_ID]],4)</f>
        <v>1150</v>
      </c>
      <c r="O151" s="45" t="str">
        <f>UPPER(sales[[#This Row],[Department]])</f>
        <v>ELECTRONICS</v>
      </c>
      <c r="P151" s="45" t="str">
        <f>LOWER(sales[[#This Row],[Department]])&amp;"@company.com"</f>
        <v>electronics@company.com</v>
      </c>
    </row>
    <row r="152" spans="1:16" x14ac:dyDescent="0.3">
      <c r="A152" s="15" t="s">
        <v>290</v>
      </c>
      <c r="B152" s="1" t="s">
        <v>52</v>
      </c>
      <c r="C152" s="1" t="s">
        <v>15</v>
      </c>
      <c r="D152" s="1" t="s">
        <v>28</v>
      </c>
      <c r="E152" s="1" t="s">
        <v>47</v>
      </c>
      <c r="F152" s="1">
        <v>113</v>
      </c>
      <c r="G152" s="7">
        <v>348.25</v>
      </c>
      <c r="H152" s="10">
        <f t="shared" si="4"/>
        <v>39352.25</v>
      </c>
      <c r="I152" s="10">
        <v>30939</v>
      </c>
      <c r="J152" s="16">
        <v>0.08</v>
      </c>
      <c r="K152" s="31"/>
      <c r="L152" s="31" t="str">
        <f>IF(sales[[#This Row],[Target]]&gt;25000,"MET TARGET","BELOW TARGET")</f>
        <v>MET TARGET</v>
      </c>
      <c r="M152" s="31" t="str">
        <f>IF(sales[[#This Row],[Units_Sold]]&gt;100,"500","0")</f>
        <v>500</v>
      </c>
      <c r="N152" s="31" t="str">
        <f>RIGHT(sales[[#This Row],[Emp_ID]],4)</f>
        <v>1151</v>
      </c>
      <c r="O152" s="45" t="str">
        <f>UPPER(sales[[#This Row],[Department]])</f>
        <v>GROCERY</v>
      </c>
      <c r="P152" s="45" t="str">
        <f>LOWER(sales[[#This Row],[Department]])&amp;"@company.com"</f>
        <v>grocery@company.com</v>
      </c>
    </row>
    <row r="153" spans="1:16" x14ac:dyDescent="0.3">
      <c r="A153" s="15" t="s">
        <v>291</v>
      </c>
      <c r="B153" s="2" t="s">
        <v>18</v>
      </c>
      <c r="C153" s="2" t="s">
        <v>27</v>
      </c>
      <c r="D153" s="2" t="s">
        <v>24</v>
      </c>
      <c r="E153" s="2" t="s">
        <v>35</v>
      </c>
      <c r="F153" s="2">
        <v>65</v>
      </c>
      <c r="G153" s="8">
        <v>196.87</v>
      </c>
      <c r="H153" s="11">
        <f t="shared" si="4"/>
        <v>12796.550000000001</v>
      </c>
      <c r="I153" s="11">
        <v>24524</v>
      </c>
      <c r="J153" s="17">
        <v>0.12</v>
      </c>
      <c r="K153" s="31"/>
      <c r="L153" s="31" t="str">
        <f>IF(sales[[#This Row],[Target]]&gt;25000,"MET TARGET","BELOW TARGET")</f>
        <v>BELOW TARGET</v>
      </c>
      <c r="M153" s="31" t="str">
        <f>IF(sales[[#This Row],[Units_Sold]]&gt;100,"500","0")</f>
        <v>0</v>
      </c>
      <c r="N153" s="31" t="str">
        <f>RIGHT(sales[[#This Row],[Emp_ID]],4)</f>
        <v>1152</v>
      </c>
      <c r="O153" s="45" t="str">
        <f>UPPER(sales[[#This Row],[Department]])</f>
        <v>SPORTS</v>
      </c>
      <c r="P153" s="45" t="str">
        <f>LOWER(sales[[#This Row],[Department]])&amp;"@company.com"</f>
        <v>sports@company.com</v>
      </c>
    </row>
    <row r="154" spans="1:16" x14ac:dyDescent="0.3">
      <c r="A154" s="15" t="s">
        <v>292</v>
      </c>
      <c r="B154" s="1" t="s">
        <v>61</v>
      </c>
      <c r="C154" s="1" t="s">
        <v>38</v>
      </c>
      <c r="D154" s="1" t="s">
        <v>13</v>
      </c>
      <c r="E154" s="1" t="s">
        <v>47</v>
      </c>
      <c r="F154" s="1">
        <v>106</v>
      </c>
      <c r="G154" s="7">
        <v>144.5</v>
      </c>
      <c r="H154" s="10">
        <f t="shared" si="4"/>
        <v>15317</v>
      </c>
      <c r="I154" s="10">
        <v>38088</v>
      </c>
      <c r="J154" s="16">
        <v>0.05</v>
      </c>
      <c r="K154" s="31"/>
      <c r="L154" s="31" t="str">
        <f>IF(sales[[#This Row],[Target]]&gt;25000,"MET TARGET","BELOW TARGET")</f>
        <v>MET TARGET</v>
      </c>
      <c r="M154" s="31" t="str">
        <f>IF(sales[[#This Row],[Units_Sold]]&gt;100,"500","0")</f>
        <v>500</v>
      </c>
      <c r="N154" s="31" t="str">
        <f>RIGHT(sales[[#This Row],[Emp_ID]],4)</f>
        <v>1153</v>
      </c>
      <c r="O154" s="45" t="str">
        <f>UPPER(sales[[#This Row],[Department]])</f>
        <v>FURNITURE</v>
      </c>
      <c r="P154" s="45" t="str">
        <f>LOWER(sales[[#This Row],[Department]])&amp;"@company.com"</f>
        <v>furniture@company.com</v>
      </c>
    </row>
    <row r="155" spans="1:16" x14ac:dyDescent="0.3">
      <c r="A155" s="15" t="s">
        <v>293</v>
      </c>
      <c r="B155" s="2" t="s">
        <v>37</v>
      </c>
      <c r="C155" s="2" t="s">
        <v>15</v>
      </c>
      <c r="D155" s="2" t="s">
        <v>24</v>
      </c>
      <c r="E155" s="2" t="s">
        <v>29</v>
      </c>
      <c r="F155" s="2">
        <v>63</v>
      </c>
      <c r="G155" s="8">
        <v>307.45999999999998</v>
      </c>
      <c r="H155" s="11">
        <f t="shared" si="4"/>
        <v>19369.98</v>
      </c>
      <c r="I155" s="11">
        <v>24089</v>
      </c>
      <c r="J155" s="17">
        <v>7.0000000000000007E-2</v>
      </c>
      <c r="K155" s="31"/>
      <c r="L155" s="31" t="str">
        <f>IF(sales[[#This Row],[Target]]&gt;25000,"MET TARGET","BELOW TARGET")</f>
        <v>BELOW TARGET</v>
      </c>
      <c r="M155" s="31" t="str">
        <f>IF(sales[[#This Row],[Units_Sold]]&gt;100,"500","0")</f>
        <v>0</v>
      </c>
      <c r="N155" s="31" t="str">
        <f>RIGHT(sales[[#This Row],[Emp_ID]],4)</f>
        <v>1154</v>
      </c>
      <c r="O155" s="45" t="str">
        <f>UPPER(sales[[#This Row],[Department]])</f>
        <v>GROCERY</v>
      </c>
      <c r="P155" s="45" t="str">
        <f>LOWER(sales[[#This Row],[Department]])&amp;"@company.com"</f>
        <v>grocery@company.com</v>
      </c>
    </row>
    <row r="156" spans="1:16" x14ac:dyDescent="0.3">
      <c r="A156" s="15" t="s">
        <v>294</v>
      </c>
      <c r="B156" s="1" t="s">
        <v>11</v>
      </c>
      <c r="C156" s="1" t="s">
        <v>23</v>
      </c>
      <c r="D156" s="1" t="s">
        <v>19</v>
      </c>
      <c r="E156" s="1" t="s">
        <v>29</v>
      </c>
      <c r="F156" s="1">
        <v>178</v>
      </c>
      <c r="G156" s="7">
        <v>380.23</v>
      </c>
      <c r="H156" s="10">
        <f t="shared" si="4"/>
        <v>67680.94</v>
      </c>
      <c r="I156" s="10">
        <v>44200</v>
      </c>
      <c r="J156" s="16">
        <v>7.0000000000000007E-2</v>
      </c>
      <c r="K156" s="31"/>
      <c r="L156" s="31" t="str">
        <f>IF(sales[[#This Row],[Target]]&gt;25000,"MET TARGET","BELOW TARGET")</f>
        <v>MET TARGET</v>
      </c>
      <c r="M156" s="31" t="str">
        <f>IF(sales[[#This Row],[Units_Sold]]&gt;100,"500","0")</f>
        <v>500</v>
      </c>
      <c r="N156" s="31" t="str">
        <f>RIGHT(sales[[#This Row],[Emp_ID]],4)</f>
        <v>1155</v>
      </c>
      <c r="O156" s="45" t="str">
        <f>UPPER(sales[[#This Row],[Department]])</f>
        <v>CLOTHING</v>
      </c>
      <c r="P156" s="45" t="str">
        <f>LOWER(sales[[#This Row],[Department]])&amp;"@company.com"</f>
        <v>clothing@company.com</v>
      </c>
    </row>
    <row r="157" spans="1:16" x14ac:dyDescent="0.3">
      <c r="A157" s="15" t="s">
        <v>295</v>
      </c>
      <c r="B157" s="2" t="s">
        <v>11</v>
      </c>
      <c r="C157" s="2" t="s">
        <v>12</v>
      </c>
      <c r="D157" s="2" t="s">
        <v>13</v>
      </c>
      <c r="E157" s="2" t="s">
        <v>29</v>
      </c>
      <c r="F157" s="2">
        <v>117</v>
      </c>
      <c r="G157" s="8">
        <v>26.35</v>
      </c>
      <c r="H157" s="11">
        <f t="shared" si="4"/>
        <v>3082.9500000000003</v>
      </c>
      <c r="I157" s="11">
        <v>24911</v>
      </c>
      <c r="J157" s="17">
        <v>7.0000000000000007E-2</v>
      </c>
      <c r="K157" s="31"/>
      <c r="L157" s="31" t="str">
        <f>IF(sales[[#This Row],[Target]]&gt;25000,"MET TARGET","BELOW TARGET")</f>
        <v>BELOW TARGET</v>
      </c>
      <c r="M157" s="31" t="str">
        <f>IF(sales[[#This Row],[Units_Sold]]&gt;100,"500","0")</f>
        <v>500</v>
      </c>
      <c r="N157" s="31" t="str">
        <f>RIGHT(sales[[#This Row],[Emp_ID]],4)</f>
        <v>1156</v>
      </c>
      <c r="O157" s="45" t="str">
        <f>UPPER(sales[[#This Row],[Department]])</f>
        <v>ELECTRONICS</v>
      </c>
      <c r="P157" s="45" t="str">
        <f>LOWER(sales[[#This Row],[Department]])&amp;"@company.com"</f>
        <v>electronics@company.com</v>
      </c>
    </row>
    <row r="158" spans="1:16" x14ac:dyDescent="0.3">
      <c r="A158" s="15" t="s">
        <v>296</v>
      </c>
      <c r="B158" s="1" t="s">
        <v>31</v>
      </c>
      <c r="C158" s="1" t="s">
        <v>38</v>
      </c>
      <c r="D158" s="1" t="s">
        <v>28</v>
      </c>
      <c r="E158" s="1" t="s">
        <v>14</v>
      </c>
      <c r="F158" s="1">
        <v>111</v>
      </c>
      <c r="G158" s="7">
        <v>96.06</v>
      </c>
      <c r="H158" s="10">
        <f t="shared" si="4"/>
        <v>10662.66</v>
      </c>
      <c r="I158" s="10">
        <v>9661</v>
      </c>
      <c r="J158" s="16">
        <v>0.12</v>
      </c>
      <c r="K158" s="31"/>
      <c r="L158" s="31" t="str">
        <f>IF(sales[[#This Row],[Target]]&gt;25000,"MET TARGET","BELOW TARGET")</f>
        <v>BELOW TARGET</v>
      </c>
      <c r="M158" s="31" t="str">
        <f>IF(sales[[#This Row],[Units_Sold]]&gt;100,"500","0")</f>
        <v>500</v>
      </c>
      <c r="N158" s="31" t="str">
        <f>RIGHT(sales[[#This Row],[Emp_ID]],4)</f>
        <v>1157</v>
      </c>
      <c r="O158" s="45" t="str">
        <f>UPPER(sales[[#This Row],[Department]])</f>
        <v>FURNITURE</v>
      </c>
      <c r="P158" s="45" t="str">
        <f>LOWER(sales[[#This Row],[Department]])&amp;"@company.com"</f>
        <v>furniture@company.com</v>
      </c>
    </row>
    <row r="159" spans="1:16" x14ac:dyDescent="0.3">
      <c r="A159" s="15" t="s">
        <v>297</v>
      </c>
      <c r="B159" s="2" t="s">
        <v>37</v>
      </c>
      <c r="C159" s="2" t="s">
        <v>38</v>
      </c>
      <c r="D159" s="2" t="s">
        <v>19</v>
      </c>
      <c r="E159" s="2" t="s">
        <v>53</v>
      </c>
      <c r="F159" s="2">
        <v>74</v>
      </c>
      <c r="G159" s="8">
        <v>416.93</v>
      </c>
      <c r="H159" s="11">
        <f t="shared" si="4"/>
        <v>30852.82</v>
      </c>
      <c r="I159" s="11">
        <v>17840</v>
      </c>
      <c r="J159" s="17">
        <v>0.1</v>
      </c>
      <c r="K159" s="31"/>
      <c r="L159" s="31" t="str">
        <f>IF(sales[[#This Row],[Target]]&gt;25000,"MET TARGET","BELOW TARGET")</f>
        <v>BELOW TARGET</v>
      </c>
      <c r="M159" s="31" t="str">
        <f>IF(sales[[#This Row],[Units_Sold]]&gt;100,"500","0")</f>
        <v>0</v>
      </c>
      <c r="N159" s="31" t="str">
        <f>RIGHT(sales[[#This Row],[Emp_ID]],4)</f>
        <v>1158</v>
      </c>
      <c r="O159" s="45" t="str">
        <f>UPPER(sales[[#This Row],[Department]])</f>
        <v>FURNITURE</v>
      </c>
      <c r="P159" s="45" t="str">
        <f>LOWER(sales[[#This Row],[Department]])&amp;"@company.com"</f>
        <v>furniture@company.com</v>
      </c>
    </row>
    <row r="160" spans="1:16" x14ac:dyDescent="0.3">
      <c r="A160" s="15" t="s">
        <v>298</v>
      </c>
      <c r="B160" s="1" t="s">
        <v>41</v>
      </c>
      <c r="C160" s="1" t="s">
        <v>38</v>
      </c>
      <c r="D160" s="1" t="s">
        <v>28</v>
      </c>
      <c r="E160" s="1" t="s">
        <v>35</v>
      </c>
      <c r="F160" s="1">
        <v>124</v>
      </c>
      <c r="G160" s="7">
        <v>481.82</v>
      </c>
      <c r="H160" s="10">
        <f t="shared" si="4"/>
        <v>59745.68</v>
      </c>
      <c r="I160" s="10">
        <v>10224</v>
      </c>
      <c r="J160" s="16">
        <v>7.0000000000000007E-2</v>
      </c>
      <c r="K160" s="31"/>
      <c r="L160" s="31" t="str">
        <f>IF(sales[[#This Row],[Target]]&gt;25000,"MET TARGET","BELOW TARGET")</f>
        <v>BELOW TARGET</v>
      </c>
      <c r="M160" s="31" t="str">
        <f>IF(sales[[#This Row],[Units_Sold]]&gt;100,"500","0")</f>
        <v>500</v>
      </c>
      <c r="N160" s="31" t="str">
        <f>RIGHT(sales[[#This Row],[Emp_ID]],4)</f>
        <v>1159</v>
      </c>
      <c r="O160" s="45" t="str">
        <f>UPPER(sales[[#This Row],[Department]])</f>
        <v>FURNITURE</v>
      </c>
      <c r="P160" s="45" t="str">
        <f>LOWER(sales[[#This Row],[Department]])&amp;"@company.com"</f>
        <v>furniture@company.com</v>
      </c>
    </row>
    <row r="161" spans="1:16" x14ac:dyDescent="0.3">
      <c r="A161" s="15" t="s">
        <v>299</v>
      </c>
      <c r="B161" s="2" t="s">
        <v>49</v>
      </c>
      <c r="C161" s="2" t="s">
        <v>27</v>
      </c>
      <c r="D161" s="2" t="s">
        <v>19</v>
      </c>
      <c r="E161" s="2" t="s">
        <v>32</v>
      </c>
      <c r="F161" s="2">
        <v>28</v>
      </c>
      <c r="G161" s="8">
        <v>397.43</v>
      </c>
      <c r="H161" s="11">
        <f t="shared" si="4"/>
        <v>11128.04</v>
      </c>
      <c r="I161" s="11">
        <v>1912</v>
      </c>
      <c r="J161" s="17">
        <v>0.08</v>
      </c>
      <c r="K161" s="31"/>
      <c r="L161" s="31" t="str">
        <f>IF(sales[[#This Row],[Target]]&gt;25000,"MET TARGET","BELOW TARGET")</f>
        <v>BELOW TARGET</v>
      </c>
      <c r="M161" s="31" t="str">
        <f>IF(sales[[#This Row],[Units_Sold]]&gt;100,"500","0")</f>
        <v>0</v>
      </c>
      <c r="N161" s="31" t="str">
        <f>RIGHT(sales[[#This Row],[Emp_ID]],4)</f>
        <v>1160</v>
      </c>
      <c r="O161" s="45" t="str">
        <f>UPPER(sales[[#This Row],[Department]])</f>
        <v>SPORTS</v>
      </c>
      <c r="P161" s="45" t="str">
        <f>LOWER(sales[[#This Row],[Department]])&amp;"@company.com"</f>
        <v>sports@company.com</v>
      </c>
    </row>
    <row r="162" spans="1:16" x14ac:dyDescent="0.3">
      <c r="A162" s="15" t="s">
        <v>300</v>
      </c>
      <c r="B162" s="1" t="s">
        <v>34</v>
      </c>
      <c r="C162" s="1" t="s">
        <v>12</v>
      </c>
      <c r="D162" s="1" t="s">
        <v>24</v>
      </c>
      <c r="E162" s="1" t="s">
        <v>32</v>
      </c>
      <c r="F162" s="1">
        <v>177</v>
      </c>
      <c r="G162" s="7">
        <v>377.02</v>
      </c>
      <c r="H162" s="10">
        <f t="shared" ref="H162:H193" si="5">F162*G162</f>
        <v>66732.539999999994</v>
      </c>
      <c r="I162" s="10">
        <v>18181</v>
      </c>
      <c r="J162" s="16">
        <v>0.12</v>
      </c>
      <c r="K162" s="31"/>
      <c r="L162" s="31" t="str">
        <f>IF(sales[[#This Row],[Target]]&gt;25000,"MET TARGET","BELOW TARGET")</f>
        <v>BELOW TARGET</v>
      </c>
      <c r="M162" s="31" t="str">
        <f>IF(sales[[#This Row],[Units_Sold]]&gt;100,"500","0")</f>
        <v>500</v>
      </c>
      <c r="N162" s="31" t="str">
        <f>RIGHT(sales[[#This Row],[Emp_ID]],4)</f>
        <v>1161</v>
      </c>
      <c r="O162" s="45" t="str">
        <f>UPPER(sales[[#This Row],[Department]])</f>
        <v>ELECTRONICS</v>
      </c>
      <c r="P162" s="45" t="str">
        <f>LOWER(sales[[#This Row],[Department]])&amp;"@company.com"</f>
        <v>electronics@company.com</v>
      </c>
    </row>
    <row r="163" spans="1:16" x14ac:dyDescent="0.3">
      <c r="A163" s="15" t="s">
        <v>301</v>
      </c>
      <c r="B163" s="2" t="s">
        <v>22</v>
      </c>
      <c r="C163" s="2" t="s">
        <v>38</v>
      </c>
      <c r="D163" s="2" t="s">
        <v>13</v>
      </c>
      <c r="E163" s="2" t="s">
        <v>47</v>
      </c>
      <c r="F163" s="2">
        <v>64</v>
      </c>
      <c r="G163" s="8">
        <v>241.02</v>
      </c>
      <c r="H163" s="11">
        <f t="shared" si="5"/>
        <v>15425.28</v>
      </c>
      <c r="I163" s="11">
        <v>41602</v>
      </c>
      <c r="J163" s="17">
        <v>0.12</v>
      </c>
      <c r="K163" s="31"/>
      <c r="L163" s="31" t="str">
        <f>IF(sales[[#This Row],[Target]]&gt;25000,"MET TARGET","BELOW TARGET")</f>
        <v>MET TARGET</v>
      </c>
      <c r="M163" s="31" t="str">
        <f>IF(sales[[#This Row],[Units_Sold]]&gt;100,"500","0")</f>
        <v>0</v>
      </c>
      <c r="N163" s="31" t="str">
        <f>RIGHT(sales[[#This Row],[Emp_ID]],4)</f>
        <v>1162</v>
      </c>
      <c r="O163" s="45" t="str">
        <f>UPPER(sales[[#This Row],[Department]])</f>
        <v>FURNITURE</v>
      </c>
      <c r="P163" s="45" t="str">
        <f>LOWER(sales[[#This Row],[Department]])&amp;"@company.com"</f>
        <v>furniture@company.com</v>
      </c>
    </row>
    <row r="164" spans="1:16" x14ac:dyDescent="0.3">
      <c r="A164" s="15" t="s">
        <v>302</v>
      </c>
      <c r="B164" s="1" t="s">
        <v>52</v>
      </c>
      <c r="C164" s="1" t="s">
        <v>15</v>
      </c>
      <c r="D164" s="1" t="s">
        <v>46</v>
      </c>
      <c r="E164" s="1" t="s">
        <v>47</v>
      </c>
      <c r="F164" s="1">
        <v>21</v>
      </c>
      <c r="G164" s="7">
        <v>321.35000000000002</v>
      </c>
      <c r="H164" s="10">
        <f t="shared" si="5"/>
        <v>6748.35</v>
      </c>
      <c r="I164" s="10">
        <v>31426</v>
      </c>
      <c r="J164" s="16">
        <v>0.08</v>
      </c>
      <c r="K164" s="31"/>
      <c r="L164" s="31" t="str">
        <f>IF(sales[[#This Row],[Target]]&gt;25000,"MET TARGET","BELOW TARGET")</f>
        <v>MET TARGET</v>
      </c>
      <c r="M164" s="31" t="str">
        <f>IF(sales[[#This Row],[Units_Sold]]&gt;100,"500","0")</f>
        <v>0</v>
      </c>
      <c r="N164" s="31" t="str">
        <f>RIGHT(sales[[#This Row],[Emp_ID]],4)</f>
        <v>1163</v>
      </c>
      <c r="O164" s="45" t="str">
        <f>UPPER(sales[[#This Row],[Department]])</f>
        <v>GROCERY</v>
      </c>
      <c r="P164" s="45" t="str">
        <f>LOWER(sales[[#This Row],[Department]])&amp;"@company.com"</f>
        <v>grocery@company.com</v>
      </c>
    </row>
    <row r="165" spans="1:16" x14ac:dyDescent="0.3">
      <c r="A165" s="15" t="s">
        <v>303</v>
      </c>
      <c r="B165" s="2" t="s">
        <v>11</v>
      </c>
      <c r="C165" s="2" t="s">
        <v>27</v>
      </c>
      <c r="D165" s="2" t="s">
        <v>13</v>
      </c>
      <c r="E165" s="2" t="s">
        <v>54</v>
      </c>
      <c r="F165" s="2">
        <v>16</v>
      </c>
      <c r="G165" s="8">
        <v>473.67</v>
      </c>
      <c r="H165" s="11">
        <f t="shared" si="5"/>
        <v>7578.72</v>
      </c>
      <c r="I165" s="11">
        <v>20946</v>
      </c>
      <c r="J165" s="17">
        <v>0.1</v>
      </c>
      <c r="K165" s="31"/>
      <c r="L165" s="31" t="str">
        <f>IF(sales[[#This Row],[Target]]&gt;25000,"MET TARGET","BELOW TARGET")</f>
        <v>BELOW TARGET</v>
      </c>
      <c r="M165" s="31" t="str">
        <f>IF(sales[[#This Row],[Units_Sold]]&gt;100,"500","0")</f>
        <v>0</v>
      </c>
      <c r="N165" s="31" t="str">
        <f>RIGHT(sales[[#This Row],[Emp_ID]],4)</f>
        <v>1164</v>
      </c>
      <c r="O165" s="45" t="str">
        <f>UPPER(sales[[#This Row],[Department]])</f>
        <v>SPORTS</v>
      </c>
      <c r="P165" s="45" t="str">
        <f>LOWER(sales[[#This Row],[Department]])&amp;"@company.com"</f>
        <v>sports@company.com</v>
      </c>
    </row>
    <row r="166" spans="1:16" x14ac:dyDescent="0.3">
      <c r="A166" s="15" t="s">
        <v>304</v>
      </c>
      <c r="B166" s="1" t="s">
        <v>31</v>
      </c>
      <c r="C166" s="1" t="s">
        <v>12</v>
      </c>
      <c r="D166" s="1" t="s">
        <v>46</v>
      </c>
      <c r="E166" s="1" t="s">
        <v>53</v>
      </c>
      <c r="F166" s="1">
        <v>39</v>
      </c>
      <c r="G166" s="7">
        <v>200.44</v>
      </c>
      <c r="H166" s="10">
        <f t="shared" si="5"/>
        <v>7817.16</v>
      </c>
      <c r="I166" s="10">
        <v>25314</v>
      </c>
      <c r="J166" s="16">
        <v>0.12</v>
      </c>
      <c r="K166" s="31"/>
      <c r="L166" s="31" t="str">
        <f>IF(sales[[#This Row],[Target]]&gt;25000,"MET TARGET","BELOW TARGET")</f>
        <v>MET TARGET</v>
      </c>
      <c r="M166" s="31" t="str">
        <f>IF(sales[[#This Row],[Units_Sold]]&gt;100,"500","0")</f>
        <v>0</v>
      </c>
      <c r="N166" s="31" t="str">
        <f>RIGHT(sales[[#This Row],[Emp_ID]],4)</f>
        <v>1165</v>
      </c>
      <c r="O166" s="45" t="str">
        <f>UPPER(sales[[#This Row],[Department]])</f>
        <v>ELECTRONICS</v>
      </c>
      <c r="P166" s="45" t="str">
        <f>LOWER(sales[[#This Row],[Department]])&amp;"@company.com"</f>
        <v>electronics@company.com</v>
      </c>
    </row>
    <row r="167" spans="1:16" x14ac:dyDescent="0.3">
      <c r="A167" s="15" t="s">
        <v>305</v>
      </c>
      <c r="B167" s="2" t="s">
        <v>22</v>
      </c>
      <c r="C167" s="2" t="s">
        <v>15</v>
      </c>
      <c r="D167" s="2" t="s">
        <v>46</v>
      </c>
      <c r="E167" s="2" t="s">
        <v>50</v>
      </c>
      <c r="F167" s="2">
        <v>172</v>
      </c>
      <c r="G167" s="8">
        <v>58.52</v>
      </c>
      <c r="H167" s="11">
        <f t="shared" si="5"/>
        <v>10065.44</v>
      </c>
      <c r="I167" s="11">
        <v>33069</v>
      </c>
      <c r="J167" s="17">
        <v>0.12</v>
      </c>
      <c r="K167" s="31"/>
      <c r="L167" s="31" t="str">
        <f>IF(sales[[#This Row],[Target]]&gt;25000,"MET TARGET","BELOW TARGET")</f>
        <v>MET TARGET</v>
      </c>
      <c r="M167" s="31" t="str">
        <f>IF(sales[[#This Row],[Units_Sold]]&gt;100,"500","0")</f>
        <v>500</v>
      </c>
      <c r="N167" s="31" t="str">
        <f>RIGHT(sales[[#This Row],[Emp_ID]],4)</f>
        <v>1166</v>
      </c>
      <c r="O167" s="45" t="str">
        <f>UPPER(sales[[#This Row],[Department]])</f>
        <v>GROCERY</v>
      </c>
      <c r="P167" s="45" t="str">
        <f>LOWER(sales[[#This Row],[Department]])&amp;"@company.com"</f>
        <v>grocery@company.com</v>
      </c>
    </row>
    <row r="168" spans="1:16" x14ac:dyDescent="0.3">
      <c r="A168" s="15" t="s">
        <v>306</v>
      </c>
      <c r="B168" s="1" t="s">
        <v>22</v>
      </c>
      <c r="C168" s="1" t="s">
        <v>38</v>
      </c>
      <c r="D168" s="1" t="s">
        <v>13</v>
      </c>
      <c r="E168" s="1" t="s">
        <v>14</v>
      </c>
      <c r="F168" s="1">
        <v>99</v>
      </c>
      <c r="G168" s="7">
        <v>116.46</v>
      </c>
      <c r="H168" s="10">
        <f t="shared" si="5"/>
        <v>11529.539999999999</v>
      </c>
      <c r="I168" s="10">
        <v>30143</v>
      </c>
      <c r="J168" s="16">
        <v>7.0000000000000007E-2</v>
      </c>
      <c r="K168" s="31"/>
      <c r="L168" s="31" t="str">
        <f>IF(sales[[#This Row],[Target]]&gt;25000,"MET TARGET","BELOW TARGET")</f>
        <v>MET TARGET</v>
      </c>
      <c r="M168" s="31" t="str">
        <f>IF(sales[[#This Row],[Units_Sold]]&gt;100,"500","0")</f>
        <v>0</v>
      </c>
      <c r="N168" s="31" t="str">
        <f>RIGHT(sales[[#This Row],[Emp_ID]],4)</f>
        <v>1167</v>
      </c>
      <c r="O168" s="45" t="str">
        <f>UPPER(sales[[#This Row],[Department]])</f>
        <v>FURNITURE</v>
      </c>
      <c r="P168" s="45" t="str">
        <f>LOWER(sales[[#This Row],[Department]])&amp;"@company.com"</f>
        <v>furniture@company.com</v>
      </c>
    </row>
    <row r="169" spans="1:16" x14ac:dyDescent="0.3">
      <c r="A169" s="15" t="s">
        <v>307</v>
      </c>
      <c r="B169" s="2" t="s">
        <v>49</v>
      </c>
      <c r="C169" s="2" t="s">
        <v>38</v>
      </c>
      <c r="D169" s="2" t="s">
        <v>13</v>
      </c>
      <c r="E169" s="2" t="s">
        <v>47</v>
      </c>
      <c r="F169" s="2">
        <v>99</v>
      </c>
      <c r="G169" s="8">
        <v>276.79000000000002</v>
      </c>
      <c r="H169" s="11">
        <f t="shared" si="5"/>
        <v>27402.210000000003</v>
      </c>
      <c r="I169" s="11">
        <v>43259</v>
      </c>
      <c r="J169" s="17">
        <v>0.08</v>
      </c>
      <c r="K169" s="31"/>
      <c r="L169" s="31" t="str">
        <f>IF(sales[[#This Row],[Target]]&gt;25000,"MET TARGET","BELOW TARGET")</f>
        <v>MET TARGET</v>
      </c>
      <c r="M169" s="31" t="str">
        <f>IF(sales[[#This Row],[Units_Sold]]&gt;100,"500","0")</f>
        <v>0</v>
      </c>
      <c r="N169" s="31" t="str">
        <f>RIGHT(sales[[#This Row],[Emp_ID]],4)</f>
        <v>1168</v>
      </c>
      <c r="O169" s="45" t="str">
        <f>UPPER(sales[[#This Row],[Department]])</f>
        <v>FURNITURE</v>
      </c>
      <c r="P169" s="45" t="str">
        <f>LOWER(sales[[#This Row],[Department]])&amp;"@company.com"</f>
        <v>furniture@company.com</v>
      </c>
    </row>
    <row r="170" spans="1:16" x14ac:dyDescent="0.3">
      <c r="A170" s="15" t="s">
        <v>308</v>
      </c>
      <c r="B170" s="1" t="s">
        <v>59</v>
      </c>
      <c r="C170" s="1" t="s">
        <v>27</v>
      </c>
      <c r="D170" s="1" t="s">
        <v>28</v>
      </c>
      <c r="E170" s="1" t="s">
        <v>39</v>
      </c>
      <c r="F170" s="1">
        <v>36</v>
      </c>
      <c r="G170" s="7">
        <v>475.02</v>
      </c>
      <c r="H170" s="10">
        <f t="shared" si="5"/>
        <v>17100.72</v>
      </c>
      <c r="I170" s="10">
        <v>30800</v>
      </c>
      <c r="J170" s="16">
        <v>0.05</v>
      </c>
      <c r="K170" s="31"/>
      <c r="L170" s="31" t="str">
        <f>IF(sales[[#This Row],[Target]]&gt;25000,"MET TARGET","BELOW TARGET")</f>
        <v>MET TARGET</v>
      </c>
      <c r="M170" s="31" t="str">
        <f>IF(sales[[#This Row],[Units_Sold]]&gt;100,"500","0")</f>
        <v>0</v>
      </c>
      <c r="N170" s="31" t="str">
        <f>RIGHT(sales[[#This Row],[Emp_ID]],4)</f>
        <v>1169</v>
      </c>
      <c r="O170" s="45" t="str">
        <f>UPPER(sales[[#This Row],[Department]])</f>
        <v>SPORTS</v>
      </c>
      <c r="P170" s="45" t="str">
        <f>LOWER(sales[[#This Row],[Department]])&amp;"@company.com"</f>
        <v>sports@company.com</v>
      </c>
    </row>
    <row r="171" spans="1:16" x14ac:dyDescent="0.3">
      <c r="A171" s="15" t="s">
        <v>309</v>
      </c>
      <c r="B171" s="2" t="s">
        <v>11</v>
      </c>
      <c r="C171" s="2" t="s">
        <v>23</v>
      </c>
      <c r="D171" s="2" t="s">
        <v>19</v>
      </c>
      <c r="E171" s="2" t="s">
        <v>20</v>
      </c>
      <c r="F171" s="2">
        <v>17</v>
      </c>
      <c r="G171" s="8">
        <v>395.53</v>
      </c>
      <c r="H171" s="11">
        <f t="shared" si="5"/>
        <v>6724.0099999999993</v>
      </c>
      <c r="I171" s="11">
        <v>16962</v>
      </c>
      <c r="J171" s="17">
        <v>7.0000000000000007E-2</v>
      </c>
      <c r="K171" s="31"/>
      <c r="L171" s="31" t="str">
        <f>IF(sales[[#This Row],[Target]]&gt;25000,"MET TARGET","BELOW TARGET")</f>
        <v>BELOW TARGET</v>
      </c>
      <c r="M171" s="31" t="str">
        <f>IF(sales[[#This Row],[Units_Sold]]&gt;100,"500","0")</f>
        <v>0</v>
      </c>
      <c r="N171" s="31" t="str">
        <f>RIGHT(sales[[#This Row],[Emp_ID]],4)</f>
        <v>1170</v>
      </c>
      <c r="O171" s="45" t="str">
        <f>UPPER(sales[[#This Row],[Department]])</f>
        <v>CLOTHING</v>
      </c>
      <c r="P171" s="45" t="str">
        <f>LOWER(sales[[#This Row],[Department]])&amp;"@company.com"</f>
        <v>clothing@company.com</v>
      </c>
    </row>
    <row r="172" spans="1:16" x14ac:dyDescent="0.3">
      <c r="A172" s="15" t="s">
        <v>310</v>
      </c>
      <c r="B172" s="1" t="s">
        <v>41</v>
      </c>
      <c r="C172" s="1" t="s">
        <v>15</v>
      </c>
      <c r="D172" s="1" t="s">
        <v>46</v>
      </c>
      <c r="E172" s="1" t="s">
        <v>35</v>
      </c>
      <c r="F172" s="1">
        <v>200</v>
      </c>
      <c r="G172" s="7">
        <v>281.56</v>
      </c>
      <c r="H172" s="10">
        <f t="shared" si="5"/>
        <v>56312</v>
      </c>
      <c r="I172" s="10">
        <v>39429</v>
      </c>
      <c r="J172" s="16">
        <v>7.0000000000000007E-2</v>
      </c>
      <c r="K172" s="31"/>
      <c r="L172" s="31" t="str">
        <f>IF(sales[[#This Row],[Target]]&gt;25000,"MET TARGET","BELOW TARGET")</f>
        <v>MET TARGET</v>
      </c>
      <c r="M172" s="31" t="str">
        <f>IF(sales[[#This Row],[Units_Sold]]&gt;100,"500","0")</f>
        <v>500</v>
      </c>
      <c r="N172" s="31" t="str">
        <f>RIGHT(sales[[#This Row],[Emp_ID]],4)</f>
        <v>1171</v>
      </c>
      <c r="O172" s="45" t="str">
        <f>UPPER(sales[[#This Row],[Department]])</f>
        <v>GROCERY</v>
      </c>
      <c r="P172" s="45" t="str">
        <f>LOWER(sales[[#This Row],[Department]])&amp;"@company.com"</f>
        <v>grocery@company.com</v>
      </c>
    </row>
    <row r="173" spans="1:16" x14ac:dyDescent="0.3">
      <c r="A173" s="15" t="s">
        <v>311</v>
      </c>
      <c r="B173" s="2" t="s">
        <v>49</v>
      </c>
      <c r="C173" s="2" t="s">
        <v>23</v>
      </c>
      <c r="D173" s="2" t="s">
        <v>28</v>
      </c>
      <c r="E173" s="2" t="s">
        <v>54</v>
      </c>
      <c r="F173" s="2">
        <v>157</v>
      </c>
      <c r="G173" s="8">
        <v>11.39</v>
      </c>
      <c r="H173" s="11">
        <f t="shared" si="5"/>
        <v>1788.23</v>
      </c>
      <c r="I173" s="11">
        <v>10482</v>
      </c>
      <c r="J173" s="17">
        <v>7.0000000000000007E-2</v>
      </c>
      <c r="K173" s="31"/>
      <c r="L173" s="31" t="str">
        <f>IF(sales[[#This Row],[Target]]&gt;25000,"MET TARGET","BELOW TARGET")</f>
        <v>BELOW TARGET</v>
      </c>
      <c r="M173" s="31" t="str">
        <f>IF(sales[[#This Row],[Units_Sold]]&gt;100,"500","0")</f>
        <v>500</v>
      </c>
      <c r="N173" s="31" t="str">
        <f>RIGHT(sales[[#This Row],[Emp_ID]],4)</f>
        <v>1172</v>
      </c>
      <c r="O173" s="45" t="str">
        <f>UPPER(sales[[#This Row],[Department]])</f>
        <v>CLOTHING</v>
      </c>
      <c r="P173" s="45" t="str">
        <f>LOWER(sales[[#This Row],[Department]])&amp;"@company.com"</f>
        <v>clothing@company.com</v>
      </c>
    </row>
    <row r="174" spans="1:16" x14ac:dyDescent="0.3">
      <c r="A174" s="15" t="s">
        <v>312</v>
      </c>
      <c r="B174" s="1" t="s">
        <v>34</v>
      </c>
      <c r="C174" s="1" t="s">
        <v>38</v>
      </c>
      <c r="D174" s="1" t="s">
        <v>46</v>
      </c>
      <c r="E174" s="1" t="s">
        <v>35</v>
      </c>
      <c r="F174" s="1">
        <v>174</v>
      </c>
      <c r="G174" s="7">
        <v>434.56</v>
      </c>
      <c r="H174" s="10">
        <f t="shared" si="5"/>
        <v>75613.440000000002</v>
      </c>
      <c r="I174" s="10">
        <v>9637</v>
      </c>
      <c r="J174" s="16">
        <v>0.05</v>
      </c>
      <c r="K174" s="31"/>
      <c r="L174" s="31" t="str">
        <f>IF(sales[[#This Row],[Target]]&gt;25000,"MET TARGET","BELOW TARGET")</f>
        <v>BELOW TARGET</v>
      </c>
      <c r="M174" s="31" t="str">
        <f>IF(sales[[#This Row],[Units_Sold]]&gt;100,"500","0")</f>
        <v>500</v>
      </c>
      <c r="N174" s="31" t="str">
        <f>RIGHT(sales[[#This Row],[Emp_ID]],4)</f>
        <v>1173</v>
      </c>
      <c r="O174" s="45" t="str">
        <f>UPPER(sales[[#This Row],[Department]])</f>
        <v>FURNITURE</v>
      </c>
      <c r="P174" s="45" t="str">
        <f>LOWER(sales[[#This Row],[Department]])&amp;"@company.com"</f>
        <v>furniture@company.com</v>
      </c>
    </row>
    <row r="175" spans="1:16" x14ac:dyDescent="0.3">
      <c r="A175" s="15" t="s">
        <v>313</v>
      </c>
      <c r="B175" s="2" t="s">
        <v>52</v>
      </c>
      <c r="C175" s="2" t="s">
        <v>23</v>
      </c>
      <c r="D175" s="2" t="s">
        <v>19</v>
      </c>
      <c r="E175" s="2" t="s">
        <v>32</v>
      </c>
      <c r="F175" s="2">
        <v>9</v>
      </c>
      <c r="G175" s="8">
        <v>95.38</v>
      </c>
      <c r="H175" s="11">
        <f t="shared" si="5"/>
        <v>858.42</v>
      </c>
      <c r="I175" s="11">
        <v>4434</v>
      </c>
      <c r="J175" s="17">
        <v>7.0000000000000007E-2</v>
      </c>
      <c r="K175" s="31"/>
      <c r="L175" s="31" t="str">
        <f>IF(sales[[#This Row],[Target]]&gt;25000,"MET TARGET","BELOW TARGET")</f>
        <v>BELOW TARGET</v>
      </c>
      <c r="M175" s="31" t="str">
        <f>IF(sales[[#This Row],[Units_Sold]]&gt;100,"500","0")</f>
        <v>0</v>
      </c>
      <c r="N175" s="31" t="str">
        <f>RIGHT(sales[[#This Row],[Emp_ID]],4)</f>
        <v>1174</v>
      </c>
      <c r="O175" s="45" t="str">
        <f>UPPER(sales[[#This Row],[Department]])</f>
        <v>CLOTHING</v>
      </c>
      <c r="P175" s="45" t="str">
        <f>LOWER(sales[[#This Row],[Department]])&amp;"@company.com"</f>
        <v>clothing@company.com</v>
      </c>
    </row>
    <row r="176" spans="1:16" x14ac:dyDescent="0.3">
      <c r="A176" s="15" t="s">
        <v>314</v>
      </c>
      <c r="B176" s="1" t="s">
        <v>26</v>
      </c>
      <c r="C176" s="1" t="s">
        <v>27</v>
      </c>
      <c r="D176" s="1" t="s">
        <v>19</v>
      </c>
      <c r="E176" s="1" t="s">
        <v>35</v>
      </c>
      <c r="F176" s="1">
        <v>195</v>
      </c>
      <c r="G176" s="7">
        <v>41.14</v>
      </c>
      <c r="H176" s="10">
        <f t="shared" si="5"/>
        <v>8022.3</v>
      </c>
      <c r="I176" s="10">
        <v>30378</v>
      </c>
      <c r="J176" s="16">
        <v>0.08</v>
      </c>
      <c r="K176" s="31"/>
      <c r="L176" s="31" t="str">
        <f>IF(sales[[#This Row],[Target]]&gt;25000,"MET TARGET","BELOW TARGET")</f>
        <v>MET TARGET</v>
      </c>
      <c r="M176" s="31" t="str">
        <f>IF(sales[[#This Row],[Units_Sold]]&gt;100,"500","0")</f>
        <v>500</v>
      </c>
      <c r="N176" s="31" t="str">
        <f>RIGHT(sales[[#This Row],[Emp_ID]],4)</f>
        <v>1175</v>
      </c>
      <c r="O176" s="45" t="str">
        <f>UPPER(sales[[#This Row],[Department]])</f>
        <v>SPORTS</v>
      </c>
      <c r="P176" s="45" t="str">
        <f>LOWER(sales[[#This Row],[Department]])&amp;"@company.com"</f>
        <v>sports@company.com</v>
      </c>
    </row>
    <row r="177" spans="1:16" x14ac:dyDescent="0.3">
      <c r="A177" s="15" t="s">
        <v>315</v>
      </c>
      <c r="B177" s="2" t="s">
        <v>34</v>
      </c>
      <c r="C177" s="2" t="s">
        <v>15</v>
      </c>
      <c r="D177" s="2" t="s">
        <v>13</v>
      </c>
      <c r="E177" s="2" t="s">
        <v>55</v>
      </c>
      <c r="F177" s="2">
        <v>133</v>
      </c>
      <c r="G177" s="8">
        <v>118.56</v>
      </c>
      <c r="H177" s="11">
        <f t="shared" si="5"/>
        <v>15768.48</v>
      </c>
      <c r="I177" s="11">
        <v>41311</v>
      </c>
      <c r="J177" s="17">
        <v>0.05</v>
      </c>
      <c r="K177" s="31"/>
      <c r="L177" s="31" t="str">
        <f>IF(sales[[#This Row],[Target]]&gt;25000,"MET TARGET","BELOW TARGET")</f>
        <v>MET TARGET</v>
      </c>
      <c r="M177" s="31" t="str">
        <f>IF(sales[[#This Row],[Units_Sold]]&gt;100,"500","0")</f>
        <v>500</v>
      </c>
      <c r="N177" s="31" t="str">
        <f>RIGHT(sales[[#This Row],[Emp_ID]],4)</f>
        <v>1176</v>
      </c>
      <c r="O177" s="45" t="str">
        <f>UPPER(sales[[#This Row],[Department]])</f>
        <v>GROCERY</v>
      </c>
      <c r="P177" s="45" t="str">
        <f>LOWER(sales[[#This Row],[Department]])&amp;"@company.com"</f>
        <v>grocery@company.com</v>
      </c>
    </row>
    <row r="178" spans="1:16" x14ac:dyDescent="0.3">
      <c r="A178" s="15" t="s">
        <v>316</v>
      </c>
      <c r="B178" s="1" t="s">
        <v>26</v>
      </c>
      <c r="C178" s="1" t="s">
        <v>15</v>
      </c>
      <c r="D178" s="1" t="s">
        <v>28</v>
      </c>
      <c r="E178" s="1" t="s">
        <v>55</v>
      </c>
      <c r="F178" s="1">
        <v>169</v>
      </c>
      <c r="G178" s="7">
        <v>482.37</v>
      </c>
      <c r="H178" s="10">
        <f t="shared" si="5"/>
        <v>81520.53</v>
      </c>
      <c r="I178" s="10">
        <v>4986</v>
      </c>
      <c r="J178" s="16">
        <v>0.1</v>
      </c>
      <c r="K178" s="31"/>
      <c r="L178" s="31" t="str">
        <f>IF(sales[[#This Row],[Target]]&gt;25000,"MET TARGET","BELOW TARGET")</f>
        <v>BELOW TARGET</v>
      </c>
      <c r="M178" s="31" t="str">
        <f>IF(sales[[#This Row],[Units_Sold]]&gt;100,"500","0")</f>
        <v>500</v>
      </c>
      <c r="N178" s="31" t="str">
        <f>RIGHT(sales[[#This Row],[Emp_ID]],4)</f>
        <v>1177</v>
      </c>
      <c r="O178" s="45" t="str">
        <f>UPPER(sales[[#This Row],[Department]])</f>
        <v>GROCERY</v>
      </c>
      <c r="P178" s="45" t="str">
        <f>LOWER(sales[[#This Row],[Department]])&amp;"@company.com"</f>
        <v>grocery@company.com</v>
      </c>
    </row>
    <row r="179" spans="1:16" x14ac:dyDescent="0.3">
      <c r="A179" s="15" t="s">
        <v>317</v>
      </c>
      <c r="B179" s="2" t="s">
        <v>49</v>
      </c>
      <c r="C179" s="2" t="s">
        <v>27</v>
      </c>
      <c r="D179" s="2" t="s">
        <v>24</v>
      </c>
      <c r="E179" s="2" t="s">
        <v>47</v>
      </c>
      <c r="F179" s="2">
        <v>32</v>
      </c>
      <c r="G179" s="8">
        <v>250.23</v>
      </c>
      <c r="H179" s="11">
        <f t="shared" si="5"/>
        <v>8007.36</v>
      </c>
      <c r="I179" s="11">
        <v>30069</v>
      </c>
      <c r="J179" s="17">
        <v>0.05</v>
      </c>
      <c r="K179" s="31"/>
      <c r="L179" s="31" t="str">
        <f>IF(sales[[#This Row],[Target]]&gt;25000,"MET TARGET","BELOW TARGET")</f>
        <v>MET TARGET</v>
      </c>
      <c r="M179" s="31" t="str">
        <f>IF(sales[[#This Row],[Units_Sold]]&gt;100,"500","0")</f>
        <v>0</v>
      </c>
      <c r="N179" s="31" t="str">
        <f>RIGHT(sales[[#This Row],[Emp_ID]],4)</f>
        <v>1178</v>
      </c>
      <c r="O179" s="45" t="str">
        <f>UPPER(sales[[#This Row],[Department]])</f>
        <v>SPORTS</v>
      </c>
      <c r="P179" s="45" t="str">
        <f>LOWER(sales[[#This Row],[Department]])&amp;"@company.com"</f>
        <v>sports@company.com</v>
      </c>
    </row>
    <row r="180" spans="1:16" x14ac:dyDescent="0.3">
      <c r="A180" s="15" t="s">
        <v>318</v>
      </c>
      <c r="B180" s="1" t="s">
        <v>37</v>
      </c>
      <c r="C180" s="1" t="s">
        <v>12</v>
      </c>
      <c r="D180" s="1" t="s">
        <v>28</v>
      </c>
      <c r="E180" s="1" t="s">
        <v>16</v>
      </c>
      <c r="F180" s="1">
        <v>42</v>
      </c>
      <c r="G180" s="7">
        <v>42.18</v>
      </c>
      <c r="H180" s="10">
        <f t="shared" si="5"/>
        <v>1771.56</v>
      </c>
      <c r="I180" s="10">
        <v>19023</v>
      </c>
      <c r="J180" s="16">
        <v>0.12</v>
      </c>
      <c r="K180" s="31"/>
      <c r="L180" s="31" t="str">
        <f>IF(sales[[#This Row],[Target]]&gt;25000,"MET TARGET","BELOW TARGET")</f>
        <v>BELOW TARGET</v>
      </c>
      <c r="M180" s="31" t="str">
        <f>IF(sales[[#This Row],[Units_Sold]]&gt;100,"500","0")</f>
        <v>0</v>
      </c>
      <c r="N180" s="31" t="str">
        <f>RIGHT(sales[[#This Row],[Emp_ID]],4)</f>
        <v>1179</v>
      </c>
      <c r="O180" s="45" t="str">
        <f>UPPER(sales[[#This Row],[Department]])</f>
        <v>ELECTRONICS</v>
      </c>
      <c r="P180" s="45" t="str">
        <f>LOWER(sales[[#This Row],[Department]])&amp;"@company.com"</f>
        <v>electronics@company.com</v>
      </c>
    </row>
    <row r="181" spans="1:16" x14ac:dyDescent="0.3">
      <c r="A181" s="15" t="s">
        <v>319</v>
      </c>
      <c r="B181" s="2" t="s">
        <v>11</v>
      </c>
      <c r="C181" s="2" t="s">
        <v>15</v>
      </c>
      <c r="D181" s="2" t="s">
        <v>19</v>
      </c>
      <c r="E181" s="2" t="s">
        <v>14</v>
      </c>
      <c r="F181" s="2">
        <v>88</v>
      </c>
      <c r="G181" s="8">
        <v>196.64</v>
      </c>
      <c r="H181" s="11">
        <f t="shared" si="5"/>
        <v>17304.32</v>
      </c>
      <c r="I181" s="11">
        <v>40150</v>
      </c>
      <c r="J181" s="17">
        <v>0.12</v>
      </c>
      <c r="K181" s="31"/>
      <c r="L181" s="31" t="str">
        <f>IF(sales[[#This Row],[Target]]&gt;25000,"MET TARGET","BELOW TARGET")</f>
        <v>MET TARGET</v>
      </c>
      <c r="M181" s="31" t="str">
        <f>IF(sales[[#This Row],[Units_Sold]]&gt;100,"500","0")</f>
        <v>0</v>
      </c>
      <c r="N181" s="31" t="str">
        <f>RIGHT(sales[[#This Row],[Emp_ID]],4)</f>
        <v>1180</v>
      </c>
      <c r="O181" s="45" t="str">
        <f>UPPER(sales[[#This Row],[Department]])</f>
        <v>GROCERY</v>
      </c>
      <c r="P181" s="45" t="str">
        <f>LOWER(sales[[#This Row],[Department]])&amp;"@company.com"</f>
        <v>grocery@company.com</v>
      </c>
    </row>
    <row r="182" spans="1:16" x14ac:dyDescent="0.3">
      <c r="A182" s="15" t="s">
        <v>320</v>
      </c>
      <c r="B182" s="1" t="s">
        <v>61</v>
      </c>
      <c r="C182" s="1" t="s">
        <v>27</v>
      </c>
      <c r="D182" s="1" t="s">
        <v>19</v>
      </c>
      <c r="E182" s="1" t="s">
        <v>16</v>
      </c>
      <c r="F182" s="1">
        <v>115</v>
      </c>
      <c r="G182" s="7">
        <v>58.6</v>
      </c>
      <c r="H182" s="10">
        <f t="shared" si="5"/>
        <v>6739</v>
      </c>
      <c r="I182" s="10">
        <v>46991</v>
      </c>
      <c r="J182" s="16">
        <v>0.05</v>
      </c>
      <c r="K182" s="31"/>
      <c r="L182" s="31" t="str">
        <f>IF(sales[[#This Row],[Target]]&gt;25000,"MET TARGET","BELOW TARGET")</f>
        <v>MET TARGET</v>
      </c>
      <c r="M182" s="31" t="str">
        <f>IF(sales[[#This Row],[Units_Sold]]&gt;100,"500","0")</f>
        <v>500</v>
      </c>
      <c r="N182" s="31" t="str">
        <f>RIGHT(sales[[#This Row],[Emp_ID]],4)</f>
        <v>1181</v>
      </c>
      <c r="O182" s="45" t="str">
        <f>UPPER(sales[[#This Row],[Department]])</f>
        <v>SPORTS</v>
      </c>
      <c r="P182" s="45" t="str">
        <f>LOWER(sales[[#This Row],[Department]])&amp;"@company.com"</f>
        <v>sports@company.com</v>
      </c>
    </row>
    <row r="183" spans="1:16" x14ac:dyDescent="0.3">
      <c r="A183" s="15" t="s">
        <v>321</v>
      </c>
      <c r="B183" s="2" t="s">
        <v>49</v>
      </c>
      <c r="C183" s="2" t="s">
        <v>15</v>
      </c>
      <c r="D183" s="2" t="s">
        <v>46</v>
      </c>
      <c r="E183" s="2" t="s">
        <v>50</v>
      </c>
      <c r="F183" s="2">
        <v>120</v>
      </c>
      <c r="G183" s="8">
        <v>445.16</v>
      </c>
      <c r="H183" s="11">
        <f t="shared" si="5"/>
        <v>53419.200000000004</v>
      </c>
      <c r="I183" s="11">
        <v>28119</v>
      </c>
      <c r="J183" s="17">
        <v>0.08</v>
      </c>
      <c r="K183" s="31"/>
      <c r="L183" s="31" t="str">
        <f>IF(sales[[#This Row],[Target]]&gt;25000,"MET TARGET","BELOW TARGET")</f>
        <v>MET TARGET</v>
      </c>
      <c r="M183" s="31" t="str">
        <f>IF(sales[[#This Row],[Units_Sold]]&gt;100,"500","0")</f>
        <v>500</v>
      </c>
      <c r="N183" s="31" t="str">
        <f>RIGHT(sales[[#This Row],[Emp_ID]],4)</f>
        <v>1182</v>
      </c>
      <c r="O183" s="45" t="str">
        <f>UPPER(sales[[#This Row],[Department]])</f>
        <v>GROCERY</v>
      </c>
      <c r="P183" s="45" t="str">
        <f>LOWER(sales[[#This Row],[Department]])&amp;"@company.com"</f>
        <v>grocery@company.com</v>
      </c>
    </row>
    <row r="184" spans="1:16" x14ac:dyDescent="0.3">
      <c r="A184" s="15" t="s">
        <v>322</v>
      </c>
      <c r="B184" s="1" t="s">
        <v>49</v>
      </c>
      <c r="C184" s="1" t="s">
        <v>27</v>
      </c>
      <c r="D184" s="1" t="s">
        <v>24</v>
      </c>
      <c r="E184" s="1" t="s">
        <v>50</v>
      </c>
      <c r="F184" s="1">
        <v>191</v>
      </c>
      <c r="G184" s="7">
        <v>56.59</v>
      </c>
      <c r="H184" s="10">
        <f t="shared" si="5"/>
        <v>10808.69</v>
      </c>
      <c r="I184" s="10">
        <v>28968</v>
      </c>
      <c r="J184" s="16">
        <v>0.08</v>
      </c>
      <c r="K184" s="31"/>
      <c r="L184" s="31" t="str">
        <f>IF(sales[[#This Row],[Target]]&gt;25000,"MET TARGET","BELOW TARGET")</f>
        <v>MET TARGET</v>
      </c>
      <c r="M184" s="31" t="str">
        <f>IF(sales[[#This Row],[Units_Sold]]&gt;100,"500","0")</f>
        <v>500</v>
      </c>
      <c r="N184" s="31" t="str">
        <f>RIGHT(sales[[#This Row],[Emp_ID]],4)</f>
        <v>1183</v>
      </c>
      <c r="O184" s="45" t="str">
        <f>UPPER(sales[[#This Row],[Department]])</f>
        <v>SPORTS</v>
      </c>
      <c r="P184" s="45" t="str">
        <f>LOWER(sales[[#This Row],[Department]])&amp;"@company.com"</f>
        <v>sports@company.com</v>
      </c>
    </row>
    <row r="185" spans="1:16" x14ac:dyDescent="0.3">
      <c r="A185" s="15" t="s">
        <v>323</v>
      </c>
      <c r="B185" s="2" t="s">
        <v>11</v>
      </c>
      <c r="C185" s="2" t="s">
        <v>38</v>
      </c>
      <c r="D185" s="2" t="s">
        <v>28</v>
      </c>
      <c r="E185" s="2" t="s">
        <v>54</v>
      </c>
      <c r="F185" s="2">
        <v>180</v>
      </c>
      <c r="G185" s="8">
        <v>462.26</v>
      </c>
      <c r="H185" s="11">
        <f t="shared" si="5"/>
        <v>83206.8</v>
      </c>
      <c r="I185" s="11">
        <v>5399</v>
      </c>
      <c r="J185" s="17">
        <v>0.05</v>
      </c>
      <c r="K185" s="31"/>
      <c r="L185" s="31" t="str">
        <f>IF(sales[[#This Row],[Target]]&gt;25000,"MET TARGET","BELOW TARGET")</f>
        <v>BELOW TARGET</v>
      </c>
      <c r="M185" s="31" t="str">
        <f>IF(sales[[#This Row],[Units_Sold]]&gt;100,"500","0")</f>
        <v>500</v>
      </c>
      <c r="N185" s="31" t="str">
        <f>RIGHT(sales[[#This Row],[Emp_ID]],4)</f>
        <v>1184</v>
      </c>
      <c r="O185" s="45" t="str">
        <f>UPPER(sales[[#This Row],[Department]])</f>
        <v>FURNITURE</v>
      </c>
      <c r="P185" s="45" t="str">
        <f>LOWER(sales[[#This Row],[Department]])&amp;"@company.com"</f>
        <v>furniture@company.com</v>
      </c>
    </row>
    <row r="186" spans="1:16" x14ac:dyDescent="0.3">
      <c r="A186" s="15" t="s">
        <v>324</v>
      </c>
      <c r="B186" s="1" t="s">
        <v>49</v>
      </c>
      <c r="C186" s="1" t="s">
        <v>12</v>
      </c>
      <c r="D186" s="1" t="s">
        <v>13</v>
      </c>
      <c r="E186" s="1" t="s">
        <v>50</v>
      </c>
      <c r="F186" s="1">
        <v>29</v>
      </c>
      <c r="G186" s="7">
        <v>374.85</v>
      </c>
      <c r="H186" s="10">
        <f t="shared" si="5"/>
        <v>10870.650000000001</v>
      </c>
      <c r="I186" s="10">
        <v>25421</v>
      </c>
      <c r="J186" s="16">
        <v>7.0000000000000007E-2</v>
      </c>
      <c r="K186" s="31"/>
      <c r="L186" s="31" t="str">
        <f>IF(sales[[#This Row],[Target]]&gt;25000,"MET TARGET","BELOW TARGET")</f>
        <v>MET TARGET</v>
      </c>
      <c r="M186" s="31" t="str">
        <f>IF(sales[[#This Row],[Units_Sold]]&gt;100,"500","0")</f>
        <v>0</v>
      </c>
      <c r="N186" s="31" t="str">
        <f>RIGHT(sales[[#This Row],[Emp_ID]],4)</f>
        <v>1185</v>
      </c>
      <c r="O186" s="45" t="str">
        <f>UPPER(sales[[#This Row],[Department]])</f>
        <v>ELECTRONICS</v>
      </c>
      <c r="P186" s="45" t="str">
        <f>LOWER(sales[[#This Row],[Department]])&amp;"@company.com"</f>
        <v>electronics@company.com</v>
      </c>
    </row>
    <row r="187" spans="1:16" x14ac:dyDescent="0.3">
      <c r="A187" s="15" t="s">
        <v>325</v>
      </c>
      <c r="B187" s="2" t="s">
        <v>34</v>
      </c>
      <c r="C187" s="2" t="s">
        <v>12</v>
      </c>
      <c r="D187" s="2" t="s">
        <v>19</v>
      </c>
      <c r="E187" s="2" t="s">
        <v>53</v>
      </c>
      <c r="F187" s="2">
        <v>148</v>
      </c>
      <c r="G187" s="8">
        <v>171.53</v>
      </c>
      <c r="H187" s="11">
        <f t="shared" si="5"/>
        <v>25386.44</v>
      </c>
      <c r="I187" s="11">
        <v>9010</v>
      </c>
      <c r="J187" s="17">
        <v>0.1</v>
      </c>
      <c r="K187" s="31"/>
      <c r="L187" s="31" t="str">
        <f>IF(sales[[#This Row],[Target]]&gt;25000,"MET TARGET","BELOW TARGET")</f>
        <v>BELOW TARGET</v>
      </c>
      <c r="M187" s="31" t="str">
        <f>IF(sales[[#This Row],[Units_Sold]]&gt;100,"500","0")</f>
        <v>500</v>
      </c>
      <c r="N187" s="31" t="str">
        <f>RIGHT(sales[[#This Row],[Emp_ID]],4)</f>
        <v>1186</v>
      </c>
      <c r="O187" s="45" t="str">
        <f>UPPER(sales[[#This Row],[Department]])</f>
        <v>ELECTRONICS</v>
      </c>
      <c r="P187" s="45" t="str">
        <f>LOWER(sales[[#This Row],[Department]])&amp;"@company.com"</f>
        <v>electronics@company.com</v>
      </c>
    </row>
    <row r="188" spans="1:16" x14ac:dyDescent="0.3">
      <c r="A188" s="15" t="s">
        <v>326</v>
      </c>
      <c r="B188" s="1" t="s">
        <v>52</v>
      </c>
      <c r="C188" s="1" t="s">
        <v>27</v>
      </c>
      <c r="D188" s="1" t="s">
        <v>13</v>
      </c>
      <c r="E188" s="1" t="s">
        <v>29</v>
      </c>
      <c r="F188" s="1">
        <v>158</v>
      </c>
      <c r="G188" s="7">
        <v>163.1</v>
      </c>
      <c r="H188" s="10">
        <f t="shared" si="5"/>
        <v>25769.8</v>
      </c>
      <c r="I188" s="10">
        <v>7789</v>
      </c>
      <c r="J188" s="16">
        <v>0.12</v>
      </c>
      <c r="K188" s="31"/>
      <c r="L188" s="31" t="str">
        <f>IF(sales[[#This Row],[Target]]&gt;25000,"MET TARGET","BELOW TARGET")</f>
        <v>BELOW TARGET</v>
      </c>
      <c r="M188" s="31" t="str">
        <f>IF(sales[[#This Row],[Units_Sold]]&gt;100,"500","0")</f>
        <v>500</v>
      </c>
      <c r="N188" s="31" t="str">
        <f>RIGHT(sales[[#This Row],[Emp_ID]],4)</f>
        <v>1187</v>
      </c>
      <c r="O188" s="45" t="str">
        <f>UPPER(sales[[#This Row],[Department]])</f>
        <v>SPORTS</v>
      </c>
      <c r="P188" s="45" t="str">
        <f>LOWER(sales[[#This Row],[Department]])&amp;"@company.com"</f>
        <v>sports@company.com</v>
      </c>
    </row>
    <row r="189" spans="1:16" x14ac:dyDescent="0.3">
      <c r="A189" s="15" t="s">
        <v>327</v>
      </c>
      <c r="B189" s="2" t="s">
        <v>34</v>
      </c>
      <c r="C189" s="2" t="s">
        <v>23</v>
      </c>
      <c r="D189" s="2" t="s">
        <v>46</v>
      </c>
      <c r="E189" s="2" t="s">
        <v>47</v>
      </c>
      <c r="F189" s="2">
        <v>128</v>
      </c>
      <c r="G189" s="8">
        <v>119.88</v>
      </c>
      <c r="H189" s="11">
        <f t="shared" si="5"/>
        <v>15344.64</v>
      </c>
      <c r="I189" s="11">
        <v>8092</v>
      </c>
      <c r="J189" s="17">
        <v>0.08</v>
      </c>
      <c r="K189" s="31"/>
      <c r="L189" s="31" t="str">
        <f>IF(sales[[#This Row],[Target]]&gt;25000,"MET TARGET","BELOW TARGET")</f>
        <v>BELOW TARGET</v>
      </c>
      <c r="M189" s="31" t="str">
        <f>IF(sales[[#This Row],[Units_Sold]]&gt;100,"500","0")</f>
        <v>500</v>
      </c>
      <c r="N189" s="31" t="str">
        <f>RIGHT(sales[[#This Row],[Emp_ID]],4)</f>
        <v>1188</v>
      </c>
      <c r="O189" s="45" t="str">
        <f>UPPER(sales[[#This Row],[Department]])</f>
        <v>CLOTHING</v>
      </c>
      <c r="P189" s="45" t="str">
        <f>LOWER(sales[[#This Row],[Department]])&amp;"@company.com"</f>
        <v>clothing@company.com</v>
      </c>
    </row>
    <row r="190" spans="1:16" x14ac:dyDescent="0.3">
      <c r="A190" s="15" t="s">
        <v>328</v>
      </c>
      <c r="B190" s="1" t="s">
        <v>49</v>
      </c>
      <c r="C190" s="1" t="s">
        <v>15</v>
      </c>
      <c r="D190" s="1" t="s">
        <v>28</v>
      </c>
      <c r="E190" s="1" t="s">
        <v>35</v>
      </c>
      <c r="F190" s="1">
        <v>200</v>
      </c>
      <c r="G190" s="7">
        <v>146.5</v>
      </c>
      <c r="H190" s="10">
        <f t="shared" si="5"/>
        <v>29300</v>
      </c>
      <c r="I190" s="10">
        <v>15821</v>
      </c>
      <c r="J190" s="16">
        <v>0.1</v>
      </c>
      <c r="K190" s="31"/>
      <c r="L190" s="31" t="str">
        <f>IF(sales[[#This Row],[Target]]&gt;25000,"MET TARGET","BELOW TARGET")</f>
        <v>BELOW TARGET</v>
      </c>
      <c r="M190" s="31" t="str">
        <f>IF(sales[[#This Row],[Units_Sold]]&gt;100,"500","0")</f>
        <v>500</v>
      </c>
      <c r="N190" s="31" t="str">
        <f>RIGHT(sales[[#This Row],[Emp_ID]],4)</f>
        <v>1189</v>
      </c>
      <c r="O190" s="45" t="str">
        <f>UPPER(sales[[#This Row],[Department]])</f>
        <v>GROCERY</v>
      </c>
      <c r="P190" s="45" t="str">
        <f>LOWER(sales[[#This Row],[Department]])&amp;"@company.com"</f>
        <v>grocery@company.com</v>
      </c>
    </row>
    <row r="191" spans="1:16" x14ac:dyDescent="0.3">
      <c r="A191" s="15" t="s">
        <v>329</v>
      </c>
      <c r="B191" s="2" t="s">
        <v>49</v>
      </c>
      <c r="C191" s="2" t="s">
        <v>15</v>
      </c>
      <c r="D191" s="2" t="s">
        <v>19</v>
      </c>
      <c r="E191" s="2" t="s">
        <v>16</v>
      </c>
      <c r="F191" s="2">
        <v>177</v>
      </c>
      <c r="G191" s="8">
        <v>324.92</v>
      </c>
      <c r="H191" s="11">
        <f t="shared" si="5"/>
        <v>57510.840000000004</v>
      </c>
      <c r="I191" s="11">
        <v>2720</v>
      </c>
      <c r="J191" s="17">
        <v>0.12</v>
      </c>
      <c r="K191" s="31"/>
      <c r="L191" s="31" t="str">
        <f>IF(sales[[#This Row],[Target]]&gt;25000,"MET TARGET","BELOW TARGET")</f>
        <v>BELOW TARGET</v>
      </c>
      <c r="M191" s="31" t="str">
        <f>IF(sales[[#This Row],[Units_Sold]]&gt;100,"500","0")</f>
        <v>500</v>
      </c>
      <c r="N191" s="31" t="str">
        <f>RIGHT(sales[[#This Row],[Emp_ID]],4)</f>
        <v>1190</v>
      </c>
      <c r="O191" s="45" t="str">
        <f>UPPER(sales[[#This Row],[Department]])</f>
        <v>GROCERY</v>
      </c>
      <c r="P191" s="45" t="str">
        <f>LOWER(sales[[#This Row],[Department]])&amp;"@company.com"</f>
        <v>grocery@company.com</v>
      </c>
    </row>
    <row r="192" spans="1:16" x14ac:dyDescent="0.3">
      <c r="A192" s="15" t="s">
        <v>330</v>
      </c>
      <c r="B192" s="1" t="s">
        <v>37</v>
      </c>
      <c r="C192" s="1" t="s">
        <v>38</v>
      </c>
      <c r="D192" s="1" t="s">
        <v>13</v>
      </c>
      <c r="E192" s="1" t="s">
        <v>54</v>
      </c>
      <c r="F192" s="1">
        <v>74</v>
      </c>
      <c r="G192" s="7">
        <v>354.32</v>
      </c>
      <c r="H192" s="10">
        <f t="shared" si="5"/>
        <v>26219.68</v>
      </c>
      <c r="I192" s="10">
        <v>21249</v>
      </c>
      <c r="J192" s="16">
        <v>0.08</v>
      </c>
      <c r="K192" s="31"/>
      <c r="L192" s="31" t="str">
        <f>IF(sales[[#This Row],[Target]]&gt;25000,"MET TARGET","BELOW TARGET")</f>
        <v>BELOW TARGET</v>
      </c>
      <c r="M192" s="31" t="str">
        <f>IF(sales[[#This Row],[Units_Sold]]&gt;100,"500","0")</f>
        <v>0</v>
      </c>
      <c r="N192" s="31" t="str">
        <f>RIGHT(sales[[#This Row],[Emp_ID]],4)</f>
        <v>1191</v>
      </c>
      <c r="O192" s="45" t="str">
        <f>UPPER(sales[[#This Row],[Department]])</f>
        <v>FURNITURE</v>
      </c>
      <c r="P192" s="45" t="str">
        <f>LOWER(sales[[#This Row],[Department]])&amp;"@company.com"</f>
        <v>furniture@company.com</v>
      </c>
    </row>
    <row r="193" spans="1:16" x14ac:dyDescent="0.3">
      <c r="A193" s="15" t="s">
        <v>331</v>
      </c>
      <c r="B193" s="2" t="s">
        <v>52</v>
      </c>
      <c r="C193" s="2" t="s">
        <v>12</v>
      </c>
      <c r="D193" s="2" t="s">
        <v>46</v>
      </c>
      <c r="E193" s="2" t="s">
        <v>54</v>
      </c>
      <c r="F193" s="2">
        <v>149</v>
      </c>
      <c r="G193" s="8">
        <v>332.1</v>
      </c>
      <c r="H193" s="11">
        <f t="shared" si="5"/>
        <v>49482.9</v>
      </c>
      <c r="I193" s="11">
        <v>5560</v>
      </c>
      <c r="J193" s="17">
        <v>7.0000000000000007E-2</v>
      </c>
      <c r="K193" s="31"/>
      <c r="L193" s="31" t="str">
        <f>IF(sales[[#This Row],[Target]]&gt;25000,"MET TARGET","BELOW TARGET")</f>
        <v>BELOW TARGET</v>
      </c>
      <c r="M193" s="31" t="str">
        <f>IF(sales[[#This Row],[Units_Sold]]&gt;100,"500","0")</f>
        <v>500</v>
      </c>
      <c r="N193" s="31" t="str">
        <f>RIGHT(sales[[#This Row],[Emp_ID]],4)</f>
        <v>1192</v>
      </c>
      <c r="O193" s="45" t="str">
        <f>UPPER(sales[[#This Row],[Department]])</f>
        <v>ELECTRONICS</v>
      </c>
      <c r="P193" s="45" t="str">
        <f>LOWER(sales[[#This Row],[Department]])&amp;"@company.com"</f>
        <v>electronics@company.com</v>
      </c>
    </row>
    <row r="194" spans="1:16" x14ac:dyDescent="0.3">
      <c r="A194" s="15" t="s">
        <v>332</v>
      </c>
      <c r="B194" s="1" t="s">
        <v>26</v>
      </c>
      <c r="C194" s="1" t="s">
        <v>12</v>
      </c>
      <c r="D194" s="1" t="s">
        <v>13</v>
      </c>
      <c r="E194" s="1" t="s">
        <v>14</v>
      </c>
      <c r="F194" s="1">
        <v>140</v>
      </c>
      <c r="G194" s="7">
        <v>115.42</v>
      </c>
      <c r="H194" s="10">
        <f t="shared" ref="H194:H201" si="6">F194*G194</f>
        <v>16158.800000000001</v>
      </c>
      <c r="I194" s="10">
        <v>28514</v>
      </c>
      <c r="J194" s="16">
        <v>0.1</v>
      </c>
      <c r="K194" s="31"/>
      <c r="L194" s="31" t="str">
        <f>IF(sales[[#This Row],[Target]]&gt;25000,"MET TARGET","BELOW TARGET")</f>
        <v>MET TARGET</v>
      </c>
      <c r="M194" s="31" t="str">
        <f>IF(sales[[#This Row],[Units_Sold]]&gt;100,"500","0")</f>
        <v>500</v>
      </c>
      <c r="N194" s="31" t="str">
        <f>RIGHT(sales[[#This Row],[Emp_ID]],4)</f>
        <v>1193</v>
      </c>
      <c r="O194" s="45" t="str">
        <f>UPPER(sales[[#This Row],[Department]])</f>
        <v>ELECTRONICS</v>
      </c>
      <c r="P194" s="45" t="str">
        <f>LOWER(sales[[#This Row],[Department]])&amp;"@company.com"</f>
        <v>electronics@company.com</v>
      </c>
    </row>
    <row r="195" spans="1:16" x14ac:dyDescent="0.3">
      <c r="A195" s="15" t="s">
        <v>333</v>
      </c>
      <c r="B195" s="2" t="s">
        <v>52</v>
      </c>
      <c r="C195" s="2" t="s">
        <v>23</v>
      </c>
      <c r="D195" s="2" t="s">
        <v>28</v>
      </c>
      <c r="E195" s="2" t="s">
        <v>29</v>
      </c>
      <c r="F195" s="2">
        <v>189</v>
      </c>
      <c r="G195" s="8">
        <v>168.95</v>
      </c>
      <c r="H195" s="11">
        <f t="shared" si="6"/>
        <v>31931.55</v>
      </c>
      <c r="I195" s="11">
        <v>38197</v>
      </c>
      <c r="J195" s="17">
        <v>0.12</v>
      </c>
      <c r="K195" s="31"/>
      <c r="L195" s="31" t="str">
        <f>IF(sales[[#This Row],[Target]]&gt;25000,"MET TARGET","BELOW TARGET")</f>
        <v>MET TARGET</v>
      </c>
      <c r="M195" s="31" t="str">
        <f>IF(sales[[#This Row],[Units_Sold]]&gt;100,"500","0")</f>
        <v>500</v>
      </c>
      <c r="N195" s="31" t="str">
        <f>RIGHT(sales[[#This Row],[Emp_ID]],4)</f>
        <v>1194</v>
      </c>
      <c r="O195" s="45" t="str">
        <f>UPPER(sales[[#This Row],[Department]])</f>
        <v>CLOTHING</v>
      </c>
      <c r="P195" s="45" t="str">
        <f>LOWER(sales[[#This Row],[Department]])&amp;"@company.com"</f>
        <v>clothing@company.com</v>
      </c>
    </row>
    <row r="196" spans="1:16" x14ac:dyDescent="0.3">
      <c r="A196" s="15" t="s">
        <v>334</v>
      </c>
      <c r="B196" s="1" t="s">
        <v>31</v>
      </c>
      <c r="C196" s="1" t="s">
        <v>12</v>
      </c>
      <c r="D196" s="1" t="s">
        <v>46</v>
      </c>
      <c r="E196" s="1" t="s">
        <v>54</v>
      </c>
      <c r="F196" s="1">
        <v>198</v>
      </c>
      <c r="G196" s="7">
        <v>312.74</v>
      </c>
      <c r="H196" s="10">
        <f t="shared" si="6"/>
        <v>61922.520000000004</v>
      </c>
      <c r="I196" s="10">
        <v>45169</v>
      </c>
      <c r="J196" s="16">
        <v>0.05</v>
      </c>
      <c r="K196" s="31"/>
      <c r="L196" s="31" t="str">
        <f>IF(sales[[#This Row],[Target]]&gt;25000,"MET TARGET","BELOW TARGET")</f>
        <v>MET TARGET</v>
      </c>
      <c r="M196" s="31" t="str">
        <f>IF(sales[[#This Row],[Units_Sold]]&gt;100,"500","0")</f>
        <v>500</v>
      </c>
      <c r="N196" s="31" t="str">
        <f>RIGHT(sales[[#This Row],[Emp_ID]],4)</f>
        <v>1195</v>
      </c>
      <c r="O196" s="45" t="str">
        <f>UPPER(sales[[#This Row],[Department]])</f>
        <v>ELECTRONICS</v>
      </c>
      <c r="P196" s="45" t="str">
        <f>LOWER(sales[[#This Row],[Department]])&amp;"@company.com"</f>
        <v>electronics@company.com</v>
      </c>
    </row>
    <row r="197" spans="1:16" x14ac:dyDescent="0.3">
      <c r="A197" s="15" t="s">
        <v>335</v>
      </c>
      <c r="B197" s="2" t="s">
        <v>61</v>
      </c>
      <c r="C197" s="2" t="s">
        <v>27</v>
      </c>
      <c r="D197" s="2" t="s">
        <v>24</v>
      </c>
      <c r="E197" s="2" t="s">
        <v>55</v>
      </c>
      <c r="F197" s="2">
        <v>160</v>
      </c>
      <c r="G197" s="8">
        <v>226.6</v>
      </c>
      <c r="H197" s="11">
        <f t="shared" si="6"/>
        <v>36256</v>
      </c>
      <c r="I197" s="11">
        <v>18902</v>
      </c>
      <c r="J197" s="17">
        <v>7.0000000000000007E-2</v>
      </c>
      <c r="K197" s="31"/>
      <c r="L197" s="31" t="str">
        <f>IF(sales[[#This Row],[Target]]&gt;25000,"MET TARGET","BELOW TARGET")</f>
        <v>BELOW TARGET</v>
      </c>
      <c r="M197" s="31" t="str">
        <f>IF(sales[[#This Row],[Units_Sold]]&gt;100,"500","0")</f>
        <v>500</v>
      </c>
      <c r="N197" s="31" t="str">
        <f>RIGHT(sales[[#This Row],[Emp_ID]],4)</f>
        <v>1196</v>
      </c>
      <c r="O197" s="45" t="str">
        <f>UPPER(sales[[#This Row],[Department]])</f>
        <v>SPORTS</v>
      </c>
      <c r="P197" s="45" t="str">
        <f>LOWER(sales[[#This Row],[Department]])&amp;"@company.com"</f>
        <v>sports@company.com</v>
      </c>
    </row>
    <row r="198" spans="1:16" x14ac:dyDescent="0.3">
      <c r="A198" s="15" t="s">
        <v>336</v>
      </c>
      <c r="B198" s="1" t="s">
        <v>41</v>
      </c>
      <c r="C198" s="1" t="s">
        <v>15</v>
      </c>
      <c r="D198" s="1" t="s">
        <v>13</v>
      </c>
      <c r="E198" s="1" t="s">
        <v>32</v>
      </c>
      <c r="F198" s="1">
        <v>115</v>
      </c>
      <c r="G198" s="7">
        <v>64.34</v>
      </c>
      <c r="H198" s="10">
        <f t="shared" si="6"/>
        <v>7399.1</v>
      </c>
      <c r="I198" s="10">
        <v>45447</v>
      </c>
      <c r="J198" s="16">
        <v>0.12</v>
      </c>
      <c r="K198" s="31"/>
      <c r="L198" s="31" t="str">
        <f>IF(sales[[#This Row],[Target]]&gt;25000,"MET TARGET","BELOW TARGET")</f>
        <v>MET TARGET</v>
      </c>
      <c r="M198" s="31" t="str">
        <f>IF(sales[[#This Row],[Units_Sold]]&gt;100,"500","0")</f>
        <v>500</v>
      </c>
      <c r="N198" s="31" t="str">
        <f>RIGHT(sales[[#This Row],[Emp_ID]],4)</f>
        <v>1197</v>
      </c>
      <c r="O198" s="45" t="str">
        <f>UPPER(sales[[#This Row],[Department]])</f>
        <v>GROCERY</v>
      </c>
      <c r="P198" s="45" t="str">
        <f>LOWER(sales[[#This Row],[Department]])&amp;"@company.com"</f>
        <v>grocery@company.com</v>
      </c>
    </row>
    <row r="199" spans="1:16" x14ac:dyDescent="0.3">
      <c r="A199" s="15" t="s">
        <v>337</v>
      </c>
      <c r="B199" s="2" t="s">
        <v>57</v>
      </c>
      <c r="C199" s="2" t="s">
        <v>15</v>
      </c>
      <c r="D199" s="2" t="s">
        <v>28</v>
      </c>
      <c r="E199" s="2" t="s">
        <v>20</v>
      </c>
      <c r="F199" s="2">
        <v>61</v>
      </c>
      <c r="G199" s="8">
        <v>203.68</v>
      </c>
      <c r="H199" s="11">
        <f t="shared" si="6"/>
        <v>12424.48</v>
      </c>
      <c r="I199" s="11">
        <v>40277</v>
      </c>
      <c r="J199" s="17">
        <v>0.05</v>
      </c>
      <c r="K199" s="31"/>
      <c r="L199" s="31" t="str">
        <f>IF(sales[[#This Row],[Target]]&gt;25000,"MET TARGET","BELOW TARGET")</f>
        <v>MET TARGET</v>
      </c>
      <c r="M199" s="31" t="str">
        <f>IF(sales[[#This Row],[Units_Sold]]&gt;100,"500","0")</f>
        <v>0</v>
      </c>
      <c r="N199" s="31" t="str">
        <f>RIGHT(sales[[#This Row],[Emp_ID]],4)</f>
        <v>1198</v>
      </c>
      <c r="O199" s="45" t="str">
        <f>UPPER(sales[[#This Row],[Department]])</f>
        <v>GROCERY</v>
      </c>
      <c r="P199" s="45" t="str">
        <f>LOWER(sales[[#This Row],[Department]])&amp;"@company.com"</f>
        <v>grocery@company.com</v>
      </c>
    </row>
    <row r="200" spans="1:16" x14ac:dyDescent="0.3">
      <c r="A200" s="15" t="s">
        <v>338</v>
      </c>
      <c r="B200" s="1" t="s">
        <v>59</v>
      </c>
      <c r="C200" s="1" t="s">
        <v>23</v>
      </c>
      <c r="D200" s="1" t="s">
        <v>28</v>
      </c>
      <c r="E200" s="1" t="s">
        <v>39</v>
      </c>
      <c r="F200" s="1">
        <v>40</v>
      </c>
      <c r="G200" s="7">
        <v>384.44</v>
      </c>
      <c r="H200" s="10">
        <f t="shared" si="6"/>
        <v>15377.6</v>
      </c>
      <c r="I200" s="10">
        <v>19969</v>
      </c>
      <c r="J200" s="16">
        <v>0.08</v>
      </c>
      <c r="K200" s="31"/>
      <c r="L200" s="31" t="str">
        <f>IF(sales[[#This Row],[Target]]&gt;25000,"MET TARGET","BELOW TARGET")</f>
        <v>BELOW TARGET</v>
      </c>
      <c r="M200" s="31" t="str">
        <f>IF(sales[[#This Row],[Units_Sold]]&gt;100,"500","0")</f>
        <v>0</v>
      </c>
      <c r="N200" s="31" t="str">
        <f>RIGHT(sales[[#This Row],[Emp_ID]],4)</f>
        <v>1199</v>
      </c>
      <c r="O200" s="45" t="str">
        <f>UPPER(sales[[#This Row],[Department]])</f>
        <v>CLOTHING</v>
      </c>
      <c r="P200" s="45" t="str">
        <f>LOWER(sales[[#This Row],[Department]])&amp;"@company.com"</f>
        <v>clothing@company.com</v>
      </c>
    </row>
    <row r="201" spans="1:16" x14ac:dyDescent="0.3">
      <c r="A201" s="23" t="s">
        <v>339</v>
      </c>
      <c r="B201" s="24" t="s">
        <v>31</v>
      </c>
      <c r="C201" s="24" t="s">
        <v>12</v>
      </c>
      <c r="D201" s="24" t="s">
        <v>24</v>
      </c>
      <c r="E201" s="24" t="s">
        <v>14</v>
      </c>
      <c r="F201" s="24">
        <v>115</v>
      </c>
      <c r="G201" s="25">
        <v>96.09</v>
      </c>
      <c r="H201" s="26">
        <f t="shared" si="6"/>
        <v>11050.35</v>
      </c>
      <c r="I201" s="26">
        <v>25917</v>
      </c>
      <c r="J201" s="27">
        <v>0.12</v>
      </c>
      <c r="K201" s="31"/>
      <c r="L201" s="31" t="str">
        <f>IF(sales[[#This Row],[Target]]&gt;25000,"MET TARGET","BELOW TARGET")</f>
        <v>MET TARGET</v>
      </c>
      <c r="M201" s="31" t="str">
        <f>IF(sales[[#This Row],[Units_Sold]]&gt;100,"500","0")</f>
        <v>500</v>
      </c>
      <c r="N201" s="31" t="str">
        <f>RIGHT(sales[[#This Row],[Emp_ID]],4)</f>
        <v>1200</v>
      </c>
      <c r="O201" s="45" t="str">
        <f>UPPER(sales[[#This Row],[Department]])</f>
        <v>ELECTRONICS</v>
      </c>
      <c r="P201" s="45" t="str">
        <f>LOWER(sales[[#This Row],[Department]])&amp;"@company.com"</f>
        <v>electronics@company.com</v>
      </c>
    </row>
  </sheetData>
  <phoneticPr fontId="9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66"/>
  <sheetViews>
    <sheetView showGridLines="0" topLeftCell="A56" workbookViewId="0">
      <selection activeCell="D73" sqref="D73"/>
    </sheetView>
  </sheetViews>
  <sheetFormatPr defaultRowHeight="14.4" x14ac:dyDescent="0.3"/>
  <cols>
    <col min="1" max="1" width="4" customWidth="1"/>
    <col min="2" max="2" width="6" customWidth="1"/>
    <col min="3" max="3" width="80" customWidth="1"/>
    <col min="4" max="4" width="50" customWidth="1"/>
  </cols>
  <sheetData>
    <row r="1" spans="2:4" ht="30" customHeight="1" x14ac:dyDescent="0.3">
      <c r="B1" s="46" t="s">
        <v>154</v>
      </c>
      <c r="C1" s="47"/>
      <c r="D1" s="47"/>
    </row>
    <row r="3" spans="2:4" ht="22.05" customHeight="1" x14ac:dyDescent="0.3">
      <c r="B3" s="48" t="s">
        <v>62</v>
      </c>
      <c r="C3" s="47"/>
      <c r="D3" s="47"/>
    </row>
    <row r="4" spans="2:4" ht="49.95" customHeight="1" x14ac:dyDescent="0.3">
      <c r="B4" s="3" t="s">
        <v>63</v>
      </c>
      <c r="C4" s="4" t="s">
        <v>64</v>
      </c>
      <c r="D4" s="5" t="s">
        <v>65</v>
      </c>
    </row>
    <row r="5" spans="2:4" ht="18" customHeight="1" x14ac:dyDescent="0.3">
      <c r="C5" s="6" t="s">
        <v>66</v>
      </c>
    </row>
    <row r="7" spans="2:4" ht="22.05" customHeight="1" x14ac:dyDescent="0.3">
      <c r="B7" s="48" t="s">
        <v>68</v>
      </c>
      <c r="C7" s="47"/>
      <c r="D7" s="47"/>
    </row>
    <row r="8" spans="2:4" ht="49.95" customHeight="1" x14ac:dyDescent="0.3">
      <c r="B8" s="3" t="s">
        <v>67</v>
      </c>
      <c r="C8" s="4" t="s">
        <v>70</v>
      </c>
      <c r="D8" s="5" t="s">
        <v>71</v>
      </c>
    </row>
    <row r="9" spans="2:4" ht="18" customHeight="1" x14ac:dyDescent="0.3">
      <c r="C9" s="6" t="s">
        <v>72</v>
      </c>
    </row>
    <row r="10" spans="2:4" ht="49.95" customHeight="1" x14ac:dyDescent="0.3">
      <c r="B10" s="3" t="s">
        <v>69</v>
      </c>
      <c r="C10" s="4" t="s">
        <v>74</v>
      </c>
      <c r="D10" s="5" t="s">
        <v>75</v>
      </c>
    </row>
    <row r="11" spans="2:4" ht="18" customHeight="1" x14ac:dyDescent="0.3">
      <c r="C11" s="6" t="s">
        <v>76</v>
      </c>
    </row>
    <row r="13" spans="2:4" ht="22.05" customHeight="1" x14ac:dyDescent="0.3">
      <c r="B13" s="48" t="s">
        <v>77</v>
      </c>
      <c r="C13" s="47"/>
      <c r="D13" s="47"/>
    </row>
    <row r="14" spans="2:4" ht="49.95" customHeight="1" x14ac:dyDescent="0.3">
      <c r="B14" s="3" t="s">
        <v>73</v>
      </c>
      <c r="C14" s="4" t="s">
        <v>79</v>
      </c>
      <c r="D14" s="5" t="s">
        <v>80</v>
      </c>
    </row>
    <row r="15" spans="2:4" ht="18" customHeight="1" x14ac:dyDescent="0.3">
      <c r="C15" s="6" t="s">
        <v>81</v>
      </c>
    </row>
    <row r="16" spans="2:4" ht="49.95" customHeight="1" x14ac:dyDescent="0.3">
      <c r="B16" s="3" t="s">
        <v>78</v>
      </c>
      <c r="C16" s="4" t="s">
        <v>83</v>
      </c>
      <c r="D16" s="5" t="s">
        <v>84</v>
      </c>
    </row>
    <row r="17" spans="2:4" ht="18" customHeight="1" x14ac:dyDescent="0.3">
      <c r="C17" s="6" t="s">
        <v>85</v>
      </c>
    </row>
    <row r="19" spans="2:4" ht="22.05" customHeight="1" x14ac:dyDescent="0.3">
      <c r="B19" s="48" t="s">
        <v>86</v>
      </c>
      <c r="C19" s="47"/>
      <c r="D19" s="47"/>
    </row>
    <row r="20" spans="2:4" ht="49.95" customHeight="1" x14ac:dyDescent="0.3">
      <c r="B20" s="3" t="s">
        <v>82</v>
      </c>
      <c r="C20" s="4" t="s">
        <v>88</v>
      </c>
      <c r="D20" s="5" t="s">
        <v>89</v>
      </c>
    </row>
    <row r="21" spans="2:4" ht="18" customHeight="1" x14ac:dyDescent="0.3">
      <c r="C21" s="6" t="s">
        <v>90</v>
      </c>
    </row>
    <row r="22" spans="2:4" ht="49.95" customHeight="1" x14ac:dyDescent="0.3">
      <c r="B22" s="3" t="s">
        <v>87</v>
      </c>
      <c r="C22" s="4" t="s">
        <v>92</v>
      </c>
      <c r="D22" s="5" t="s">
        <v>93</v>
      </c>
    </row>
    <row r="23" spans="2:4" ht="18" customHeight="1" x14ac:dyDescent="0.3">
      <c r="C23" s="6" t="s">
        <v>94</v>
      </c>
    </row>
    <row r="25" spans="2:4" ht="22.05" customHeight="1" x14ac:dyDescent="0.3">
      <c r="B25" s="48" t="s">
        <v>95</v>
      </c>
      <c r="C25" s="47"/>
      <c r="D25" s="47"/>
    </row>
    <row r="26" spans="2:4" ht="49.95" customHeight="1" x14ac:dyDescent="0.3">
      <c r="B26" s="3" t="s">
        <v>91</v>
      </c>
      <c r="C26" s="4" t="s">
        <v>97</v>
      </c>
      <c r="D26" s="5" t="s">
        <v>98</v>
      </c>
    </row>
    <row r="27" spans="2:4" ht="18" customHeight="1" x14ac:dyDescent="0.3">
      <c r="C27" s="6" t="s">
        <v>99</v>
      </c>
    </row>
    <row r="28" spans="2:4" ht="49.95" customHeight="1" x14ac:dyDescent="0.3">
      <c r="B28" s="3" t="s">
        <v>96</v>
      </c>
      <c r="C28" s="4" t="s">
        <v>101</v>
      </c>
      <c r="D28" s="5" t="s">
        <v>102</v>
      </c>
    </row>
    <row r="29" spans="2:4" ht="18" customHeight="1" x14ac:dyDescent="0.3">
      <c r="C29" s="6" t="s">
        <v>103</v>
      </c>
    </row>
    <row r="31" spans="2:4" ht="22.05" customHeight="1" x14ac:dyDescent="0.3">
      <c r="B31" s="48" t="s">
        <v>104</v>
      </c>
      <c r="C31" s="47"/>
      <c r="D31" s="47"/>
    </row>
    <row r="32" spans="2:4" ht="49.95" customHeight="1" x14ac:dyDescent="0.3">
      <c r="B32" s="3" t="s">
        <v>100</v>
      </c>
      <c r="C32" s="4" t="s">
        <v>106</v>
      </c>
      <c r="D32" s="5" t="s">
        <v>107</v>
      </c>
    </row>
    <row r="33" spans="2:4" ht="18" customHeight="1" x14ac:dyDescent="0.3">
      <c r="C33" s="6" t="s">
        <v>108</v>
      </c>
    </row>
    <row r="34" spans="2:4" ht="49.95" customHeight="1" x14ac:dyDescent="0.3">
      <c r="B34" s="3" t="s">
        <v>105</v>
      </c>
      <c r="C34" s="4" t="s">
        <v>110</v>
      </c>
      <c r="D34" s="5" t="s">
        <v>111</v>
      </c>
    </row>
    <row r="35" spans="2:4" ht="18" customHeight="1" x14ac:dyDescent="0.3">
      <c r="C35" s="6" t="s">
        <v>112</v>
      </c>
    </row>
    <row r="37" spans="2:4" ht="22.05" customHeight="1" x14ac:dyDescent="0.3">
      <c r="B37" s="48" t="s">
        <v>113</v>
      </c>
      <c r="C37" s="47"/>
      <c r="D37" s="47"/>
    </row>
    <row r="38" spans="2:4" ht="49.95" customHeight="1" x14ac:dyDescent="0.3">
      <c r="B38" s="3" t="s">
        <v>109</v>
      </c>
      <c r="C38" s="4" t="s">
        <v>115</v>
      </c>
      <c r="D38" s="5" t="s">
        <v>116</v>
      </c>
    </row>
    <row r="39" spans="2:4" ht="18" customHeight="1" x14ac:dyDescent="0.3">
      <c r="C39" s="6" t="s">
        <v>117</v>
      </c>
    </row>
    <row r="40" spans="2:4" ht="49.95" customHeight="1" x14ac:dyDescent="0.3">
      <c r="B40" s="3" t="s">
        <v>114</v>
      </c>
      <c r="C40" s="4" t="s">
        <v>119</v>
      </c>
      <c r="D40" s="5" t="s">
        <v>120</v>
      </c>
    </row>
    <row r="41" spans="2:4" ht="18" customHeight="1" x14ac:dyDescent="0.3">
      <c r="C41" s="6" t="s">
        <v>121</v>
      </c>
    </row>
    <row r="43" spans="2:4" ht="22.05" customHeight="1" x14ac:dyDescent="0.3">
      <c r="B43" s="48" t="s">
        <v>122</v>
      </c>
      <c r="C43" s="47"/>
      <c r="D43" s="47"/>
    </row>
    <row r="44" spans="2:4" ht="49.95" customHeight="1" x14ac:dyDescent="0.3">
      <c r="B44" s="3" t="s">
        <v>118</v>
      </c>
      <c r="C44" s="4" t="s">
        <v>124</v>
      </c>
      <c r="D44" s="5" t="s">
        <v>125</v>
      </c>
    </row>
    <row r="45" spans="2:4" ht="18" customHeight="1" x14ac:dyDescent="0.3">
      <c r="C45" s="6" t="s">
        <v>126</v>
      </c>
    </row>
    <row r="46" spans="2:4" ht="49.95" customHeight="1" x14ac:dyDescent="0.3">
      <c r="B46" s="3" t="s">
        <v>123</v>
      </c>
      <c r="C46" s="4" t="s">
        <v>128</v>
      </c>
      <c r="D46" s="5" t="s">
        <v>129</v>
      </c>
    </row>
    <row r="47" spans="2:4" ht="18" customHeight="1" x14ac:dyDescent="0.3">
      <c r="C47" s="6" t="s">
        <v>130</v>
      </c>
    </row>
    <row r="49" spans="2:4" ht="22.05" customHeight="1" x14ac:dyDescent="0.3">
      <c r="B49" s="48" t="s">
        <v>131</v>
      </c>
      <c r="C49" s="47"/>
      <c r="D49" s="47"/>
    </row>
    <row r="50" spans="2:4" ht="49.95" customHeight="1" x14ac:dyDescent="0.3">
      <c r="B50" s="3" t="s">
        <v>127</v>
      </c>
      <c r="C50" s="4" t="s">
        <v>133</v>
      </c>
      <c r="D50" s="5" t="s">
        <v>134</v>
      </c>
    </row>
    <row r="51" spans="2:4" ht="18" customHeight="1" x14ac:dyDescent="0.3">
      <c r="C51" s="6" t="s">
        <v>135</v>
      </c>
    </row>
    <row r="52" spans="2:4" ht="49.95" customHeight="1" x14ac:dyDescent="0.3">
      <c r="B52" s="3" t="s">
        <v>132</v>
      </c>
      <c r="C52" s="4" t="s">
        <v>137</v>
      </c>
      <c r="D52" s="5" t="s">
        <v>138</v>
      </c>
    </row>
    <row r="53" spans="2:4" ht="18" customHeight="1" x14ac:dyDescent="0.3">
      <c r="C53" s="6" t="s">
        <v>139</v>
      </c>
    </row>
    <row r="55" spans="2:4" ht="22.05" customHeight="1" x14ac:dyDescent="0.3">
      <c r="B55" s="48" t="s">
        <v>140</v>
      </c>
      <c r="C55" s="47"/>
      <c r="D55" s="47"/>
    </row>
    <row r="56" spans="2:4" ht="49.95" customHeight="1" x14ac:dyDescent="0.3">
      <c r="B56" s="3" t="s">
        <v>136</v>
      </c>
      <c r="C56" s="4" t="s">
        <v>142</v>
      </c>
      <c r="D56" s="5" t="s">
        <v>143</v>
      </c>
    </row>
    <row r="57" spans="2:4" ht="18" customHeight="1" x14ac:dyDescent="0.3">
      <c r="C57" s="6" t="s">
        <v>144</v>
      </c>
    </row>
    <row r="60" spans="2:4" ht="22.05" customHeight="1" x14ac:dyDescent="0.3">
      <c r="B60" s="48" t="s">
        <v>146</v>
      </c>
      <c r="C60" s="47"/>
      <c r="D60" s="47"/>
    </row>
    <row r="61" spans="2:4" ht="49.95" customHeight="1" x14ac:dyDescent="0.3">
      <c r="B61" s="14" t="s">
        <v>141</v>
      </c>
      <c r="C61" s="4" t="s">
        <v>147</v>
      </c>
      <c r="D61" s="5" t="s">
        <v>148</v>
      </c>
    </row>
    <row r="62" spans="2:4" ht="18" customHeight="1" x14ac:dyDescent="0.3">
      <c r="C62" s="6" t="s">
        <v>149</v>
      </c>
    </row>
    <row r="64" spans="2:4" ht="22.05" customHeight="1" x14ac:dyDescent="0.3">
      <c r="B64" s="48" t="s">
        <v>150</v>
      </c>
      <c r="C64" s="47"/>
      <c r="D64" s="47"/>
    </row>
    <row r="65" spans="2:4" ht="49.95" customHeight="1" x14ac:dyDescent="0.3">
      <c r="B65" s="14" t="s">
        <v>145</v>
      </c>
      <c r="C65" s="4" t="s">
        <v>151</v>
      </c>
      <c r="D65" s="5" t="s">
        <v>152</v>
      </c>
    </row>
    <row r="66" spans="2:4" ht="18" customHeight="1" x14ac:dyDescent="0.3">
      <c r="C66" s="6" t="s">
        <v>153</v>
      </c>
    </row>
  </sheetData>
  <mergeCells count="13">
    <mergeCell ref="B64:D64"/>
    <mergeCell ref="B7:D7"/>
    <mergeCell ref="B25:D25"/>
    <mergeCell ref="B60:D60"/>
    <mergeCell ref="B43:D43"/>
    <mergeCell ref="B1:D1"/>
    <mergeCell ref="B19:D19"/>
    <mergeCell ref="B3:D3"/>
    <mergeCell ref="B37:D37"/>
    <mergeCell ref="B55:D55"/>
    <mergeCell ref="B13:D13"/>
    <mergeCell ref="B31:D31"/>
    <mergeCell ref="B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Formula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Malarmathi E.</cp:lastModifiedBy>
  <dcterms:created xsi:type="dcterms:W3CDTF">2026-05-30T06:43:40Z</dcterms:created>
  <dcterms:modified xsi:type="dcterms:W3CDTF">2026-05-31T05:32:09Z</dcterms:modified>
</cp:coreProperties>
</file>