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larmathi\Desktop\"/>
    </mc:Choice>
  </mc:AlternateContent>
  <xr:revisionPtr revIDLastSave="0" documentId="8_{653AD51E-7795-4559-9F80-C40BE4F1E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J7" i="1"/>
  <c r="J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5" i="1"/>
  <c r="H3" i="1"/>
  <c r="G7" i="1"/>
  <c r="G5" i="1"/>
  <c r="G3" i="1"/>
</calcChain>
</file>

<file path=xl/sharedStrings.xml><?xml version="1.0" encoding="utf-8"?>
<sst xmlns="http://schemas.openxmlformats.org/spreadsheetml/2006/main" count="159" uniqueCount="110">
  <si>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</si>
  <si>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</si>
  <si>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</si>
  <si>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</si>
  <si>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</si>
  <si>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</si>
  <si>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</si>
  <si>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</si>
  <si>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</si>
  <si>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</si>
  <si>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</si>
  <si>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</si>
  <si>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</si>
  <si>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</si>
  <si>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</si>
  <si>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</si>
  <si>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</si>
  <si>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</si>
  <si>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</si>
  <si>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</si>
  <si>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</si>
  <si>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</si>
  <si>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</si>
  <si>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</si>
  <si>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</si>
  <si>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</si>
  <si>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</si>
  <si>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</si>
  <si>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</si>
  <si>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</si>
  <si>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</si>
  <si>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</si>
  <si>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</si>
  <si>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</si>
  <si>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</si>
  <si>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</si>
  <si>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</si>
  <si>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</si>
  <si>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</si>
  <si>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</si>
  <si>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</si>
  <si>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</si>
  <si>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</si>
  <si>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</si>
  <si>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</si>
  <si>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</si>
  <si>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</si>
  <si>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</si>
  <si>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</si>
  <si>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</si>
  <si>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</si>
  <si>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</si>
  <si>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</si>
  <si>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</si>
  <si>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</si>
  <si>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</si>
  <si>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</si>
  <si>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</si>
  <si>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</si>
  <si>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</si>
  <si>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</si>
  <si>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</si>
  <si>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</si>
  <si>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</si>
  <si>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</si>
  <si>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</si>
  <si>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</si>
  <si>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</si>
  <si>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</si>
  <si>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</si>
  <si>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</si>
  <si>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</si>
  <si>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</si>
  <si>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</si>
  <si>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</si>
  <si>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</si>
  <si>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</si>
  <si>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</si>
  <si>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</si>
  <si>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</si>
  <si>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</si>
  <si>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</si>
  <si>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</si>
  <si>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</si>
  <si>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</si>
  <si>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</si>
  <si>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</si>
  <si>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</si>
  <si>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</si>
  <si>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</si>
  <si>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</si>
  <si>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</si>
  <si>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</si>
  <si>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 in the dataset.</t>
  </si>
  <si>
    <t>Sum, Count, and Average</t>
  </si>
  <si>
    <t>how many products exist in the dataset.</t>
  </si>
  <si>
    <t>average price of the products.</t>
  </si>
  <si>
    <t>Minimum and Maximum Values</t>
  </si>
  <si>
    <t>minimum price among all products.</t>
  </si>
  <si>
    <t>maximum price among all products.</t>
  </si>
  <si>
    <t>Price Range.</t>
  </si>
  <si>
    <t>.</t>
  </si>
  <si>
    <t>total price of products in the</t>
  </si>
  <si>
    <t>Electronics category.</t>
  </si>
  <si>
    <t>SUMIF &amp; COUNTIF</t>
  </si>
  <si>
    <t>number of products with a price</t>
  </si>
  <si>
    <t>less than $100.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</si>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</sst>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/>
    <xf numFmtId="0" fontId="3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CDFC4-7D36-44CC-A596-5683E84AEAD8}" name="Dataset" displayName="Dataset" ref="A1:M35" totalsRowShown="0" headerRowDxfId="14" dataDxfId="13">
  <autoFilter ref="A1:M35" xr:uid="{C3ACDFC4-7D36-44CC-A596-5683E84AEAD8}"/>
  <tableColumns count="13">
    <tableColumn id="1" xr3:uid="{ABAE5DE0-7200-48E7-837D-D9F7D6F6926A}" name="Product ID" dataDxfId="5"/>
    <tableColumn id="2" xr3:uid="{2C488DA3-E4CE-478B-9F0D-681B769F50ED}" name="Product Name" dataDxfId="4"/>
    <tableColumn id="3" xr3:uid="{86D456FB-476B-42A9-81A3-2AF38EAF576C}" name="Brand Name" dataDxfId="3"/>
    <tableColumn id="4" xr3:uid="{99276B91-7231-4C03-8A7C-CE20DF155EC5}" name="Price ($)" dataDxfId="2"/>
    <tableColumn id="5" xr3:uid="{A68DC963-A536-42CC-9341-5B67289F23E4}" name="Quantity" dataDxfId="1"/>
    <tableColumn id="6" xr3:uid="{FC72A72A-F807-42DF-989B-9300ECC97363}" name="Category" dataDxfId="0"/>
    <tableColumn id="7" xr3:uid="{9A60F3FC-2E5A-4E42-822C-43941CF3DC0D}" name="Sum, Count, and Average" dataDxfId="12"/>
    <tableColumn id="8" xr3:uid="{1B2F2168-2DE6-4D36-81DE-49AD5EFE3B0C}" name="Minimum and Maximum Values" dataDxfId="11"/>
    <tableColumn id="9" xr3:uid="{418C3A25-DE62-45B2-A96B-7ED52A237D9D}" name="Price Range." dataDxfId="10">
      <calculatedColumnFormula>IF(Dataset[[#This Row],[Price ($)]]&gt;500,"High Price","Standard Price")</calculatedColumnFormula>
    </tableColumn>
    <tableColumn id="10" xr3:uid="{BEE5A763-8F4A-4C88-A096-4A6FF379D157}" name="SUMIF &amp; COUNTIF" dataDxfId="9"/>
    <tableColumn id="11" xr3:uid="{BD86ED3E-A70C-4621-8F12-5D8F3BCF233E}" name="Day" dataDxfId="8">
      <calculatedColumnFormula>LEFT(Dataset[[#This Row],[Product ID]],2)</calculatedColumnFormula>
    </tableColumn>
    <tableColumn id="12" xr3:uid="{0ABFD460-72E8-411C-A16C-D9BCC98ECFA5}" name="Country Code" dataDxfId="7">
      <calculatedColumnFormula>RIGHT(Dataset[[#This Row],[Product ID]],2)</calculatedColumnFormula>
    </tableColumn>
    <tableColumn id="13" xr3:uid="{134A7DBB-B421-45C6-9FA9-3230ED078E01}" name="Month" dataDxfId="6">
      <calculatedColumnFormula>MID(Dataset[[#This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G32" sqref="G32"/>
    </sheetView>
  </sheetViews>
  <sheetFormatPr defaultColWidth="12.6640625" defaultRowHeight="15" customHeight="1" x14ac:dyDescent="0.25"/>
  <cols>
    <col min="2" max="2" width="15.33203125" customWidth="1"/>
    <col min="3" max="3" width="13.6640625" customWidth="1"/>
    <col min="7" max="7" width="41" bestFit="1" customWidth="1"/>
    <col min="8" max="8" width="32.33203125" bestFit="1" customWidth="1"/>
    <col min="9" max="9" width="16.5546875" style="2" bestFit="1" customWidth="1"/>
    <col min="10" max="10" width="29.5546875" bestFit="1" customWidth="1"/>
    <col min="11" max="11" width="12.6640625" style="8"/>
    <col min="12" max="13" width="12.6640625" style="11"/>
  </cols>
  <sheetData>
    <row r="1" spans="1:13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94</v>
      </c>
      <c r="H1" s="3" t="s">
        <v>97</v>
      </c>
      <c r="I1" s="3" t="s">
        <v>100</v>
      </c>
      <c r="J1" s="3" t="s">
        <v>104</v>
      </c>
      <c r="K1" s="1" t="s">
        <v>107</v>
      </c>
      <c r="L1" s="3" t="s">
        <v>108</v>
      </c>
      <c r="M1" s="3" t="s">
        <v>109</v>
      </c>
    </row>
    <row r="2" spans="1:13" ht="15.75" customHeight="1" x14ac:dyDescent="0.25">
      <c r="A2" s="12" t="s">
        <v>6</v>
      </c>
      <c r="B2" s="12" t="s">
        <v>7</v>
      </c>
      <c r="C2" s="12" t="s">
        <v>8</v>
      </c>
      <c r="D2" s="12">
        <v>1000</v>
      </c>
      <c r="E2" s="12">
        <v>30</v>
      </c>
      <c r="F2" s="12" t="s">
        <v>9</v>
      </c>
      <c r="G2" s="4" t="s">
        <v>93</v>
      </c>
      <c r="H2" s="4" t="s">
        <v>98</v>
      </c>
      <c r="I2" s="5" t="str">
        <f>IF(Dataset[[#This Row],[Price ($)]]&gt;500,"High Price","Standard Price")</f>
        <v>High Price</v>
      </c>
      <c r="J2" s="4" t="s">
        <v>102</v>
      </c>
      <c r="K2" s="9" t="str">
        <f>LEFT(Dataset[[#This Row],[Product ID]],2)</f>
        <v>28</v>
      </c>
      <c r="L2" s="4" t="str">
        <f>RIGHT(Dataset[[#This Row],[Product ID]],2)</f>
        <v>US</v>
      </c>
      <c r="M2" s="4" t="str">
        <f>MID(Dataset[[#This Row],[Product ID]],4,3)</f>
        <v>JAN</v>
      </c>
    </row>
    <row r="3" spans="1:13" ht="15.75" customHeight="1" x14ac:dyDescent="0.25">
      <c r="A3" s="7" t="s">
        <v>10</v>
      </c>
      <c r="B3" s="7" t="s">
        <v>11</v>
      </c>
      <c r="C3" s="7" t="s">
        <v>12</v>
      </c>
      <c r="D3" s="7">
        <v>80</v>
      </c>
      <c r="E3" s="7">
        <v>15</v>
      </c>
      <c r="F3" s="7" t="s">
        <v>13</v>
      </c>
      <c r="G3" s="4">
        <f>SUM(Dataset[Price ($)])</f>
        <v>10100</v>
      </c>
      <c r="H3" s="4">
        <f>MIN(Dataset[Price ($)])</f>
        <v>30</v>
      </c>
      <c r="I3" s="5" t="str">
        <f>IF(Dataset[[#This Row],[Price ($)]]&gt;500,"High Price","Standard Price")</f>
        <v>Standard Price</v>
      </c>
      <c r="J3" s="4" t="s">
        <v>103</v>
      </c>
      <c r="K3" s="10" t="str">
        <f>LEFT(Dataset[[#This Row],[Product ID]],2)</f>
        <v>15</v>
      </c>
      <c r="L3" s="4" t="str">
        <f>RIGHT(Dataset[[#This Row],[Product ID]],2)</f>
        <v>US</v>
      </c>
      <c r="M3" s="4" t="str">
        <f>MID(Dataset[[#This Row],[Product ID]],4,3)</f>
        <v>FEB</v>
      </c>
    </row>
    <row r="4" spans="1:13" ht="15.75" customHeight="1" x14ac:dyDescent="0.25">
      <c r="A4" s="12" t="s">
        <v>14</v>
      </c>
      <c r="B4" s="12" t="s">
        <v>15</v>
      </c>
      <c r="C4" s="12" t="s">
        <v>16</v>
      </c>
      <c r="D4" s="12">
        <v>130</v>
      </c>
      <c r="E4" s="12">
        <v>40</v>
      </c>
      <c r="F4" s="12" t="s">
        <v>17</v>
      </c>
      <c r="G4" s="4" t="s">
        <v>95</v>
      </c>
      <c r="H4" s="4" t="s">
        <v>99</v>
      </c>
      <c r="I4" s="5" t="str">
        <f>IF(Dataset[[#This Row],[Price ($)]]&gt;500,"High Price","Standard Price")</f>
        <v>Standard Price</v>
      </c>
      <c r="J4" s="4">
        <f>SUMIF(Dataset[Category],"Electronics",Dataset[Price ($)])</f>
        <v>8050</v>
      </c>
      <c r="K4" s="10" t="str">
        <f>LEFT(Dataset[[#This Row],[Product ID]],2)</f>
        <v>03</v>
      </c>
      <c r="L4" s="4" t="str">
        <f>RIGHT(Dataset[[#This Row],[Product ID]],2)</f>
        <v>US</v>
      </c>
      <c r="M4" s="4" t="str">
        <f>MID(Dataset[[#This Row],[Product ID]],4,3)</f>
        <v>MAR</v>
      </c>
    </row>
    <row r="5" spans="1:13" ht="15.75" customHeight="1" x14ac:dyDescent="0.25">
      <c r="A5" s="7" t="s">
        <v>18</v>
      </c>
      <c r="B5" s="7" t="s">
        <v>19</v>
      </c>
      <c r="C5" s="7" t="s">
        <v>20</v>
      </c>
      <c r="D5" s="7">
        <v>900</v>
      </c>
      <c r="E5" s="7">
        <v>25</v>
      </c>
      <c r="F5" s="7" t="s">
        <v>9</v>
      </c>
      <c r="G5" s="4">
        <f>COUNTA(Dataset[Product Name])</f>
        <v>34</v>
      </c>
      <c r="H5" s="4">
        <f>MAX(Dataset[Price ($)])</f>
        <v>1000</v>
      </c>
      <c r="I5" s="5" t="str">
        <f>IF(Dataset[[#This Row],[Price ($)]]&gt;500,"High Price","Standard Price")</f>
        <v>High Price</v>
      </c>
      <c r="J5" s="4" t="s">
        <v>105</v>
      </c>
      <c r="K5" s="10" t="str">
        <f>LEFT(Dataset[[#This Row],[Product ID]],2)</f>
        <v>11</v>
      </c>
      <c r="L5" s="4" t="str">
        <f>RIGHT(Dataset[[#This Row],[Product ID]],2)</f>
        <v>US</v>
      </c>
      <c r="M5" s="4" t="str">
        <f>MID(Dataset[[#This Row],[Product ID]],4,3)</f>
        <v>APR</v>
      </c>
    </row>
    <row r="6" spans="1:13" ht="15.75" customHeight="1" x14ac:dyDescent="0.25">
      <c r="A6" s="12" t="s">
        <v>21</v>
      </c>
      <c r="B6" s="12" t="s">
        <v>22</v>
      </c>
      <c r="C6" s="12" t="s">
        <v>23</v>
      </c>
      <c r="D6" s="12">
        <v>70</v>
      </c>
      <c r="E6" s="12">
        <v>20</v>
      </c>
      <c r="F6" s="12" t="s">
        <v>24</v>
      </c>
      <c r="G6" s="4" t="s">
        <v>96</v>
      </c>
      <c r="H6" s="6"/>
      <c r="I6" s="5" t="str">
        <f>IF(Dataset[[#This Row],[Price ($)]]&gt;500,"High Price","Standard Price")</f>
        <v>Standard Price</v>
      </c>
      <c r="J6" s="4" t="s">
        <v>106</v>
      </c>
      <c r="K6" s="10" t="str">
        <f>LEFT(Dataset[[#This Row],[Product ID]],2)</f>
        <v>22</v>
      </c>
      <c r="L6" s="4" t="str">
        <f>RIGHT(Dataset[[#This Row],[Product ID]],2)</f>
        <v>US</v>
      </c>
      <c r="M6" s="4" t="str">
        <f>MID(Dataset[[#This Row],[Product ID]],4,3)</f>
        <v>MAY</v>
      </c>
    </row>
    <row r="7" spans="1:13" ht="15.75" customHeight="1" x14ac:dyDescent="0.25">
      <c r="A7" s="7" t="s">
        <v>25</v>
      </c>
      <c r="B7" s="7" t="s">
        <v>26</v>
      </c>
      <c r="C7" s="7" t="s">
        <v>27</v>
      </c>
      <c r="D7" s="7">
        <v>200</v>
      </c>
      <c r="E7" s="7">
        <v>45</v>
      </c>
      <c r="F7" s="7" t="s">
        <v>9</v>
      </c>
      <c r="G7" s="4">
        <f>AVERAGE(Dataset[Price ($)])</f>
        <v>297.05882352941177</v>
      </c>
      <c r="H7" s="6"/>
      <c r="I7" s="5" t="str">
        <f>IF(Dataset[[#This Row],[Price ($)]]&gt;500,"High Price","Standard Price")</f>
        <v>Standard Price</v>
      </c>
      <c r="J7" s="4">
        <f>COUNTIF(Dataset[Price ($)],"&lt;100")</f>
        <v>11</v>
      </c>
      <c r="K7" s="10" t="str">
        <f>LEFT(Dataset[[#This Row],[Product ID]],2)</f>
        <v>07</v>
      </c>
      <c r="L7" s="4" t="str">
        <f>RIGHT(Dataset[[#This Row],[Product ID]],2)</f>
        <v>UK</v>
      </c>
      <c r="M7" s="4" t="str">
        <f>MID(Dataset[[#This Row],[Product ID]],4,3)</f>
        <v>JUN</v>
      </c>
    </row>
    <row r="8" spans="1:13" ht="15.75" customHeight="1" x14ac:dyDescent="0.25">
      <c r="A8" s="12" t="s">
        <v>28</v>
      </c>
      <c r="B8" s="12" t="s">
        <v>29</v>
      </c>
      <c r="C8" s="12" t="s">
        <v>30</v>
      </c>
      <c r="D8" s="12">
        <v>30</v>
      </c>
      <c r="E8" s="12">
        <v>5</v>
      </c>
      <c r="F8" s="12" t="s">
        <v>13</v>
      </c>
      <c r="G8" s="7"/>
      <c r="H8" s="6"/>
      <c r="I8" s="5" t="str">
        <f>IF(Dataset[[#This Row],[Price ($)]]&gt;500,"High Price","Standard Price")</f>
        <v>Standard Price</v>
      </c>
      <c r="J8" s="6"/>
      <c r="K8" s="10" t="str">
        <f>LEFT(Dataset[[#This Row],[Product ID]],2)</f>
        <v>19</v>
      </c>
      <c r="L8" s="4" t="str">
        <f>RIGHT(Dataset[[#This Row],[Product ID]],2)</f>
        <v>UK</v>
      </c>
      <c r="M8" s="4" t="str">
        <f>MID(Dataset[[#This Row],[Product ID]],4,3)</f>
        <v>JUL</v>
      </c>
    </row>
    <row r="9" spans="1:13" ht="15.75" customHeight="1" x14ac:dyDescent="0.25">
      <c r="A9" s="7" t="s">
        <v>31</v>
      </c>
      <c r="B9" s="7" t="s">
        <v>32</v>
      </c>
      <c r="C9" s="7" t="s">
        <v>33</v>
      </c>
      <c r="D9" s="7">
        <v>90</v>
      </c>
      <c r="E9" s="7">
        <v>35</v>
      </c>
      <c r="F9" s="7" t="s">
        <v>17</v>
      </c>
      <c r="G9" s="7"/>
      <c r="H9" s="6"/>
      <c r="I9" s="5" t="str">
        <f>IF(Dataset[[#This Row],[Price ($)]]&gt;500,"High Price","Standard Price")</f>
        <v>Standard Price</v>
      </c>
      <c r="J9" s="6"/>
      <c r="K9" s="10" t="str">
        <f>LEFT(Dataset[[#This Row],[Product ID]],2)</f>
        <v>23</v>
      </c>
      <c r="L9" s="4" t="str">
        <f>RIGHT(Dataset[[#This Row],[Product ID]],2)</f>
        <v>UK</v>
      </c>
      <c r="M9" s="4" t="str">
        <f>MID(Dataset[[#This Row],[Product ID]],4,3)</f>
        <v>AUG</v>
      </c>
    </row>
    <row r="10" spans="1:13" ht="15.75" customHeight="1" x14ac:dyDescent="0.25">
      <c r="A10" s="12" t="s">
        <v>34</v>
      </c>
      <c r="B10" s="12" t="s">
        <v>35</v>
      </c>
      <c r="C10" s="12" t="s">
        <v>36</v>
      </c>
      <c r="D10" s="12">
        <v>500</v>
      </c>
      <c r="E10" s="12">
        <v>50</v>
      </c>
      <c r="F10" s="12" t="s">
        <v>9</v>
      </c>
      <c r="G10" s="7"/>
      <c r="H10" s="6"/>
      <c r="I10" s="5" t="str">
        <f>IF(Dataset[[#This Row],[Price ($)]]&gt;500,"High Price","Standard Price")</f>
        <v>Standard Price</v>
      </c>
      <c r="J10" s="6"/>
      <c r="K10" s="10" t="str">
        <f>LEFT(Dataset[[#This Row],[Product ID]],2)</f>
        <v>05</v>
      </c>
      <c r="L10" s="4" t="str">
        <f>RIGHT(Dataset[[#This Row],[Product ID]],2)</f>
        <v>UK</v>
      </c>
      <c r="M10" s="4" t="str">
        <f>MID(Dataset[[#This Row],[Product ID]],4,3)</f>
        <v>SEP</v>
      </c>
    </row>
    <row r="11" spans="1:13" ht="15.75" customHeight="1" x14ac:dyDescent="0.25">
      <c r="A11" s="7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7" t="s">
        <v>24</v>
      </c>
      <c r="G11" s="7"/>
      <c r="H11" s="6"/>
      <c r="I11" s="5" t="str">
        <f>IF(Dataset[[#This Row],[Price ($)]]&gt;500,"High Price","Standard Price")</f>
        <v>Standard Price</v>
      </c>
      <c r="J11" s="6"/>
      <c r="K11" s="10" t="str">
        <f>LEFT(Dataset[[#This Row],[Product ID]],2)</f>
        <v>14</v>
      </c>
      <c r="L11" s="4" t="str">
        <f>RIGHT(Dataset[[#This Row],[Product ID]],2)</f>
        <v>UK</v>
      </c>
      <c r="M11" s="4" t="str">
        <f>MID(Dataset[[#This Row],[Product ID]],4,3)</f>
        <v>OCT</v>
      </c>
    </row>
    <row r="12" spans="1:13" ht="15.75" customHeight="1" x14ac:dyDescent="0.25">
      <c r="A12" s="12" t="s">
        <v>40</v>
      </c>
      <c r="B12" s="12" t="s">
        <v>7</v>
      </c>
      <c r="C12" s="12" t="s">
        <v>41</v>
      </c>
      <c r="D12" s="12">
        <v>950</v>
      </c>
      <c r="E12" s="12">
        <v>25</v>
      </c>
      <c r="F12" s="12" t="s">
        <v>9</v>
      </c>
      <c r="G12" s="7"/>
      <c r="H12" s="6"/>
      <c r="I12" s="5" t="str">
        <f>IF(Dataset[[#This Row],[Price ($)]]&gt;500,"High Price","Standard Price")</f>
        <v>High Price</v>
      </c>
      <c r="J12" s="6"/>
      <c r="K12" s="10" t="str">
        <f>LEFT(Dataset[[#This Row],[Product ID]],2)</f>
        <v>17</v>
      </c>
      <c r="L12" s="4" t="str">
        <f>RIGHT(Dataset[[#This Row],[Product ID]],2)</f>
        <v>IN</v>
      </c>
      <c r="M12" s="4" t="str">
        <f>MID(Dataset[[#This Row],[Product ID]],4,3)</f>
        <v>JUN</v>
      </c>
    </row>
    <row r="13" spans="1:13" ht="15.75" customHeight="1" x14ac:dyDescent="0.25">
      <c r="A13" s="7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7" t="s">
        <v>13</v>
      </c>
      <c r="G13" s="7"/>
      <c r="H13" s="6"/>
      <c r="I13" s="5" t="str">
        <f>IF(Dataset[[#This Row],[Price ($)]]&gt;500,"High Price","Standard Price")</f>
        <v>Standard Price</v>
      </c>
      <c r="J13" s="6"/>
      <c r="K13" s="10" t="str">
        <f>LEFT(Dataset[[#This Row],[Product ID]],2)</f>
        <v>25</v>
      </c>
      <c r="L13" s="4" t="str">
        <f>RIGHT(Dataset[[#This Row],[Product ID]],2)</f>
        <v>AU</v>
      </c>
      <c r="M13" s="4" t="str">
        <f>MID(Dataset[[#This Row],[Product ID]],4,3)</f>
        <v>NOV</v>
      </c>
    </row>
    <row r="14" spans="1:13" ht="15.75" customHeight="1" x14ac:dyDescent="0.25">
      <c r="A14" s="12" t="s">
        <v>43</v>
      </c>
      <c r="B14" s="12" t="s">
        <v>15</v>
      </c>
      <c r="C14" s="12" t="s">
        <v>44</v>
      </c>
      <c r="D14" s="12">
        <v>120</v>
      </c>
      <c r="E14" s="12">
        <v>35</v>
      </c>
      <c r="F14" s="12" t="s">
        <v>17</v>
      </c>
      <c r="G14" s="7"/>
      <c r="H14" s="6"/>
      <c r="I14" s="5" t="str">
        <f>IF(Dataset[[#This Row],[Price ($)]]&gt;500,"High Price","Standard Price")</f>
        <v>Standard Price</v>
      </c>
      <c r="J14" s="6"/>
      <c r="K14" s="10" t="str">
        <f>LEFT(Dataset[[#This Row],[Product ID]],2)</f>
        <v>08</v>
      </c>
      <c r="L14" s="4" t="str">
        <f>RIGHT(Dataset[[#This Row],[Product ID]],2)</f>
        <v>DE</v>
      </c>
      <c r="M14" s="4" t="str">
        <f>MID(Dataset[[#This Row],[Product ID]],4,3)</f>
        <v>DEC</v>
      </c>
    </row>
    <row r="15" spans="1:13" ht="15.75" customHeight="1" x14ac:dyDescent="0.25">
      <c r="A15" s="7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7" t="s">
        <v>9</v>
      </c>
      <c r="G15" s="7"/>
      <c r="H15" s="6"/>
      <c r="I15" s="5" t="str">
        <f>IF(Dataset[[#This Row],[Price ($)]]&gt;500,"High Price","Standard Price")</f>
        <v>Standard Price</v>
      </c>
      <c r="J15" s="6"/>
      <c r="K15" s="10" t="str">
        <f>LEFT(Dataset[[#This Row],[Product ID]],2)</f>
        <v>18</v>
      </c>
      <c r="L15" s="4" t="str">
        <f>RIGHT(Dataset[[#This Row],[Product ID]],2)</f>
        <v>CA</v>
      </c>
      <c r="M15" s="4" t="str">
        <f>MID(Dataset[[#This Row],[Product ID]],4,3)</f>
        <v>FEB</v>
      </c>
    </row>
    <row r="16" spans="1:13" ht="15.75" customHeight="1" x14ac:dyDescent="0.25">
      <c r="A16" s="12" t="s">
        <v>48</v>
      </c>
      <c r="B16" s="12" t="s">
        <v>26</v>
      </c>
      <c r="C16" s="12" t="s">
        <v>49</v>
      </c>
      <c r="D16" s="12">
        <v>250</v>
      </c>
      <c r="E16" s="12">
        <v>20</v>
      </c>
      <c r="F16" s="12" t="s">
        <v>9</v>
      </c>
      <c r="G16" s="7"/>
      <c r="H16" s="6"/>
      <c r="I16" s="5" t="str">
        <f>IF(Dataset[[#This Row],[Price ($)]]&gt;500,"High Price","Standard Price")</f>
        <v>Standard Price</v>
      </c>
      <c r="J16" s="6" t="s">
        <v>101</v>
      </c>
      <c r="K16" s="10" t="str">
        <f>LEFT(Dataset[[#This Row],[Product ID]],2)</f>
        <v>16</v>
      </c>
      <c r="L16" s="4" t="str">
        <f>RIGHT(Dataset[[#This Row],[Product ID]],2)</f>
        <v>ES</v>
      </c>
      <c r="M16" s="4" t="str">
        <f>MID(Dataset[[#This Row],[Product ID]],4,3)</f>
        <v>APR</v>
      </c>
    </row>
    <row r="17" spans="1:13" ht="15.75" customHeight="1" x14ac:dyDescent="0.25">
      <c r="A17" s="7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7" t="s">
        <v>53</v>
      </c>
      <c r="G17" s="7"/>
      <c r="H17" s="6"/>
      <c r="I17" s="5" t="str">
        <f>IF(Dataset[[#This Row],[Price ($)]]&gt;500,"High Price","Standard Price")</f>
        <v>Standard Price</v>
      </c>
      <c r="J17" s="6"/>
      <c r="K17" s="10" t="str">
        <f>LEFT(Dataset[[#This Row],[Product ID]],2)</f>
        <v>21</v>
      </c>
      <c r="L17" s="4" t="str">
        <f>RIGHT(Dataset[[#This Row],[Product ID]],2)</f>
        <v>CA</v>
      </c>
      <c r="M17" s="4" t="str">
        <f>MID(Dataset[[#This Row],[Product ID]],4,3)</f>
        <v>AUG</v>
      </c>
    </row>
    <row r="18" spans="1:13" ht="15.75" customHeight="1" x14ac:dyDescent="0.25">
      <c r="A18" s="12" t="s">
        <v>54</v>
      </c>
      <c r="B18" s="12" t="s">
        <v>46</v>
      </c>
      <c r="C18" s="12" t="s">
        <v>55</v>
      </c>
      <c r="D18" s="12">
        <v>160</v>
      </c>
      <c r="E18" s="12">
        <v>15</v>
      </c>
      <c r="F18" s="12" t="s">
        <v>9</v>
      </c>
      <c r="G18" s="7"/>
      <c r="H18" s="6"/>
      <c r="I18" s="5" t="str">
        <f>IF(Dataset[[#This Row],[Price ($)]]&gt;500,"High Price","Standard Price")</f>
        <v>Standard Price</v>
      </c>
      <c r="J18" s="6"/>
      <c r="K18" s="10" t="str">
        <f>LEFT(Dataset[[#This Row],[Product ID]],2)</f>
        <v>20</v>
      </c>
      <c r="L18" s="4" t="str">
        <f>RIGHT(Dataset[[#This Row],[Product ID]],2)</f>
        <v>CN</v>
      </c>
      <c r="M18" s="4" t="str">
        <f>MID(Dataset[[#This Row],[Product ID]],4,3)</f>
        <v>AUG</v>
      </c>
    </row>
    <row r="19" spans="1:13" ht="15.75" customHeight="1" x14ac:dyDescent="0.25">
      <c r="A19" s="7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7" t="s">
        <v>9</v>
      </c>
      <c r="G19" s="7"/>
      <c r="H19" s="6"/>
      <c r="I19" s="5" t="str">
        <f>IF(Dataset[[#This Row],[Price ($)]]&gt;500,"High Price","Standard Price")</f>
        <v>High Price</v>
      </c>
      <c r="J19" s="6"/>
      <c r="K19" s="10" t="str">
        <f>LEFT(Dataset[[#This Row],[Product ID]],2)</f>
        <v>27</v>
      </c>
      <c r="L19" s="4" t="str">
        <f>RIGHT(Dataset[[#This Row],[Product ID]],2)</f>
        <v>IT</v>
      </c>
      <c r="M19" s="4" t="str">
        <f>MID(Dataset[[#This Row],[Product ID]],4,3)</f>
        <v>JAN</v>
      </c>
    </row>
    <row r="20" spans="1:13" ht="15.75" customHeight="1" x14ac:dyDescent="0.25">
      <c r="A20" s="12" t="s">
        <v>58</v>
      </c>
      <c r="B20" s="12" t="s">
        <v>59</v>
      </c>
      <c r="C20" s="12" t="s">
        <v>60</v>
      </c>
      <c r="D20" s="12">
        <v>150</v>
      </c>
      <c r="E20" s="12">
        <v>15</v>
      </c>
      <c r="F20" s="12" t="s">
        <v>13</v>
      </c>
      <c r="G20" s="7"/>
      <c r="H20" s="6"/>
      <c r="I20" s="5" t="str">
        <f>IF(Dataset[[#This Row],[Price ($)]]&gt;500,"High Price","Standard Price")</f>
        <v>Standard Price</v>
      </c>
      <c r="J20" s="6"/>
      <c r="K20" s="10" t="str">
        <f>LEFT(Dataset[[#This Row],[Product ID]],2)</f>
        <v>01</v>
      </c>
      <c r="L20" s="4" t="str">
        <f>RIGHT(Dataset[[#This Row],[Product ID]],2)</f>
        <v>UK</v>
      </c>
      <c r="M20" s="4" t="str">
        <f>MID(Dataset[[#This Row],[Product ID]],4,3)</f>
        <v>MAR</v>
      </c>
    </row>
    <row r="21" spans="1:13" ht="15.75" customHeight="1" x14ac:dyDescent="0.25">
      <c r="A21" s="7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7" t="s">
        <v>24</v>
      </c>
      <c r="G21" s="7"/>
      <c r="H21" s="6"/>
      <c r="I21" s="5" t="str">
        <f>IF(Dataset[[#This Row],[Price ($)]]&gt;500,"High Price","Standard Price")</f>
        <v>Standard Price</v>
      </c>
      <c r="J21" s="6"/>
      <c r="K21" s="10" t="str">
        <f>LEFT(Dataset[[#This Row],[Product ID]],2)</f>
        <v>14</v>
      </c>
      <c r="L21" s="4" t="str">
        <f>RIGHT(Dataset[[#This Row],[Product ID]],2)</f>
        <v>US</v>
      </c>
      <c r="M21" s="4" t="str">
        <f>MID(Dataset[[#This Row],[Product ID]],4,3)</f>
        <v>AUG</v>
      </c>
    </row>
    <row r="22" spans="1:13" ht="15.75" customHeight="1" x14ac:dyDescent="0.25">
      <c r="A22" s="12" t="s">
        <v>64</v>
      </c>
      <c r="B22" s="12" t="s">
        <v>65</v>
      </c>
      <c r="C22" s="12" t="s">
        <v>66</v>
      </c>
      <c r="D22" s="12">
        <v>700</v>
      </c>
      <c r="E22" s="12">
        <v>50</v>
      </c>
      <c r="F22" s="12" t="s">
        <v>9</v>
      </c>
      <c r="G22" s="7"/>
      <c r="H22" s="6"/>
      <c r="I22" s="5" t="str">
        <f>IF(Dataset[[#This Row],[Price ($)]]&gt;500,"High Price","Standard Price")</f>
        <v>High Price</v>
      </c>
      <c r="J22" s="6"/>
      <c r="K22" s="10" t="str">
        <f>LEFT(Dataset[[#This Row],[Product ID]],2)</f>
        <v>14</v>
      </c>
      <c r="L22" s="4" t="str">
        <f>RIGHT(Dataset[[#This Row],[Product ID]],2)</f>
        <v>RU</v>
      </c>
      <c r="M22" s="4" t="str">
        <f>MID(Dataset[[#This Row],[Product ID]],4,3)</f>
        <v>MAY</v>
      </c>
    </row>
    <row r="23" spans="1:13" ht="15.75" customHeight="1" x14ac:dyDescent="0.25">
      <c r="A23" s="7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7" t="s">
        <v>17</v>
      </c>
      <c r="G23" s="7"/>
      <c r="H23" s="6"/>
      <c r="I23" s="5" t="str">
        <f>IF(Dataset[[#This Row],[Price ($)]]&gt;500,"High Price","Standard Price")</f>
        <v>Standard Price</v>
      </c>
      <c r="J23" s="6"/>
      <c r="K23" s="10" t="str">
        <f>LEFT(Dataset[[#This Row],[Product ID]],2)</f>
        <v>09</v>
      </c>
      <c r="L23" s="4" t="str">
        <f>RIGHT(Dataset[[#This Row],[Product ID]],2)</f>
        <v>CA</v>
      </c>
      <c r="M23" s="4" t="str">
        <f>MID(Dataset[[#This Row],[Product ID]],4,3)</f>
        <v>JAN</v>
      </c>
    </row>
    <row r="24" spans="1:13" ht="15.75" customHeight="1" x14ac:dyDescent="0.25">
      <c r="A24" s="12" t="s">
        <v>70</v>
      </c>
      <c r="B24" s="12" t="s">
        <v>71</v>
      </c>
      <c r="C24" s="12" t="s">
        <v>72</v>
      </c>
      <c r="D24" s="12">
        <v>150</v>
      </c>
      <c r="E24" s="12">
        <v>30</v>
      </c>
      <c r="F24" s="12" t="s">
        <v>9</v>
      </c>
      <c r="G24" s="7"/>
      <c r="H24" s="6"/>
      <c r="I24" s="5" t="str">
        <f>IF(Dataset[[#This Row],[Price ($)]]&gt;500,"High Price","Standard Price")</f>
        <v>Standard Price</v>
      </c>
      <c r="J24" s="6"/>
      <c r="K24" s="10" t="str">
        <f>LEFT(Dataset[[#This Row],[Product ID]],2)</f>
        <v>19</v>
      </c>
      <c r="L24" s="4" t="str">
        <f>RIGHT(Dataset[[#This Row],[Product ID]],2)</f>
        <v>BR</v>
      </c>
      <c r="M24" s="4" t="str">
        <f>MID(Dataset[[#This Row],[Product ID]],4,3)</f>
        <v>JUL</v>
      </c>
    </row>
    <row r="25" spans="1:13" ht="15.75" customHeight="1" x14ac:dyDescent="0.25">
      <c r="A25" s="7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7" t="s">
        <v>53</v>
      </c>
      <c r="G25" s="6"/>
      <c r="H25" s="6"/>
      <c r="I25" s="5" t="str">
        <f>IF(Dataset[[#This Row],[Price ($)]]&gt;500,"High Price","Standard Price")</f>
        <v>Standard Price</v>
      </c>
      <c r="J25" s="6"/>
      <c r="K25" s="10" t="str">
        <f>LEFT(Dataset[[#This Row],[Product ID]],2)</f>
        <v>21</v>
      </c>
      <c r="L25" s="4" t="str">
        <f>RIGHT(Dataset[[#This Row],[Product ID]],2)</f>
        <v>CA</v>
      </c>
      <c r="M25" s="4" t="str">
        <f>MID(Dataset[[#This Row],[Product ID]],4,3)</f>
        <v>AUG</v>
      </c>
    </row>
    <row r="26" spans="1:13" ht="15.75" customHeight="1" x14ac:dyDescent="0.25">
      <c r="A26" s="12" t="s">
        <v>73</v>
      </c>
      <c r="B26" s="12" t="s">
        <v>19</v>
      </c>
      <c r="C26" s="12" t="s">
        <v>74</v>
      </c>
      <c r="D26" s="12">
        <v>800</v>
      </c>
      <c r="E26" s="12">
        <v>45</v>
      </c>
      <c r="F26" s="12" t="s">
        <v>9</v>
      </c>
      <c r="G26" s="7"/>
      <c r="H26" s="6"/>
      <c r="I26" s="5" t="str">
        <f>IF(Dataset[[#This Row],[Price ($)]]&gt;500,"High Price","Standard Price")</f>
        <v>High Price</v>
      </c>
      <c r="J26" s="6"/>
      <c r="K26" s="10" t="str">
        <f>LEFT(Dataset[[#This Row],[Product ID]],2)</f>
        <v>29</v>
      </c>
      <c r="L26" s="4" t="str">
        <f>RIGHT(Dataset[[#This Row],[Product ID]],2)</f>
        <v>CA</v>
      </c>
      <c r="M26" s="4" t="str">
        <f>MID(Dataset[[#This Row],[Product ID]],4,3)</f>
        <v>SEP</v>
      </c>
    </row>
    <row r="27" spans="1:13" ht="15.75" customHeight="1" x14ac:dyDescent="0.25">
      <c r="A27" s="7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7" t="s">
        <v>13</v>
      </c>
      <c r="G27" s="7"/>
      <c r="H27" s="6"/>
      <c r="I27" s="5" t="str">
        <f>IF(Dataset[[#This Row],[Price ($)]]&gt;500,"High Price","Standard Price")</f>
        <v>Standard Price</v>
      </c>
      <c r="J27" s="6"/>
      <c r="K27" s="10" t="str">
        <f>LEFT(Dataset[[#This Row],[Product ID]],2)</f>
        <v>03</v>
      </c>
      <c r="L27" s="4" t="str">
        <f>RIGHT(Dataset[[#This Row],[Product ID]],2)</f>
        <v>CA</v>
      </c>
      <c r="M27" s="4" t="str">
        <f>MID(Dataset[[#This Row],[Product ID]],4,3)</f>
        <v>JUN</v>
      </c>
    </row>
    <row r="28" spans="1:13" ht="15.75" customHeight="1" x14ac:dyDescent="0.25">
      <c r="A28" s="12" t="s">
        <v>77</v>
      </c>
      <c r="B28" s="12" t="s">
        <v>32</v>
      </c>
      <c r="C28" s="12" t="s">
        <v>78</v>
      </c>
      <c r="D28" s="12">
        <v>400</v>
      </c>
      <c r="E28" s="12">
        <v>40</v>
      </c>
      <c r="F28" s="12" t="s">
        <v>17</v>
      </c>
      <c r="G28" s="7"/>
      <c r="H28" s="6"/>
      <c r="I28" s="5" t="str">
        <f>IF(Dataset[[#This Row],[Price ($)]]&gt;500,"High Price","Standard Price")</f>
        <v>Standard Price</v>
      </c>
      <c r="J28" s="6"/>
      <c r="K28" s="10" t="str">
        <f>LEFT(Dataset[[#This Row],[Product ID]],2)</f>
        <v>11</v>
      </c>
      <c r="L28" s="4" t="str">
        <f>RIGHT(Dataset[[#This Row],[Product ID]],2)</f>
        <v>CA</v>
      </c>
      <c r="M28" s="4" t="str">
        <f>MID(Dataset[[#This Row],[Product ID]],4,3)</f>
        <v>JUL</v>
      </c>
    </row>
    <row r="29" spans="1:13" ht="15.75" customHeight="1" x14ac:dyDescent="0.25">
      <c r="A29" s="7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7" t="s">
        <v>9</v>
      </c>
      <c r="G29" s="6"/>
      <c r="H29" s="6"/>
      <c r="I29" s="5" t="str">
        <f>IF(Dataset[[#This Row],[Price ($)]]&gt;500,"High Price","Standard Price")</f>
        <v>Standard Price</v>
      </c>
      <c r="J29" s="6"/>
      <c r="K29" s="10" t="str">
        <f>LEFT(Dataset[[#This Row],[Product ID]],2)</f>
        <v>16</v>
      </c>
      <c r="L29" s="4" t="str">
        <f>RIGHT(Dataset[[#This Row],[Product ID]],2)</f>
        <v>ES</v>
      </c>
      <c r="M29" s="4" t="str">
        <f>MID(Dataset[[#This Row],[Product ID]],4,3)</f>
        <v>APR</v>
      </c>
    </row>
    <row r="30" spans="1:13" ht="15.75" customHeight="1" x14ac:dyDescent="0.25">
      <c r="A30" s="12" t="s">
        <v>79</v>
      </c>
      <c r="B30" s="12" t="s">
        <v>80</v>
      </c>
      <c r="C30" s="12" t="s">
        <v>81</v>
      </c>
      <c r="D30" s="12">
        <v>60</v>
      </c>
      <c r="E30" s="12">
        <v>30</v>
      </c>
      <c r="F30" s="12" t="s">
        <v>13</v>
      </c>
      <c r="G30" s="7"/>
      <c r="H30" s="6"/>
      <c r="I30" s="5" t="str">
        <f>IF(Dataset[[#This Row],[Price ($)]]&gt;500,"High Price","Standard Price")</f>
        <v>Standard Price</v>
      </c>
      <c r="J30" s="6"/>
      <c r="K30" s="10" t="str">
        <f>LEFT(Dataset[[#This Row],[Product ID]],2)</f>
        <v>07</v>
      </c>
      <c r="L30" s="4" t="str">
        <f>RIGHT(Dataset[[#This Row],[Product ID]],2)</f>
        <v>CA</v>
      </c>
      <c r="M30" s="4" t="str">
        <f>MID(Dataset[[#This Row],[Product ID]],4,3)</f>
        <v>MAR</v>
      </c>
    </row>
    <row r="31" spans="1:13" ht="15.75" customHeight="1" x14ac:dyDescent="0.25">
      <c r="A31" s="7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7" t="s">
        <v>17</v>
      </c>
      <c r="G31" s="7"/>
      <c r="H31" s="6"/>
      <c r="I31" s="5" t="str">
        <f>IF(Dataset[[#This Row],[Price ($)]]&gt;500,"High Price","Standard Price")</f>
        <v>Standard Price</v>
      </c>
      <c r="J31" s="6"/>
      <c r="K31" s="10" t="str">
        <f>LEFT(Dataset[[#This Row],[Product ID]],2)</f>
        <v>13</v>
      </c>
      <c r="L31" s="4" t="str">
        <f>RIGHT(Dataset[[#This Row],[Product ID]],2)</f>
        <v>CA</v>
      </c>
      <c r="M31" s="4" t="str">
        <f>MID(Dataset[[#This Row],[Product ID]],4,3)</f>
        <v>APR</v>
      </c>
    </row>
    <row r="32" spans="1:13" ht="15.75" customHeight="1" x14ac:dyDescent="0.25">
      <c r="A32" s="12" t="s">
        <v>85</v>
      </c>
      <c r="B32" s="12" t="s">
        <v>71</v>
      </c>
      <c r="C32" s="12" t="s">
        <v>86</v>
      </c>
      <c r="D32" s="12">
        <v>130</v>
      </c>
      <c r="E32" s="12">
        <v>5</v>
      </c>
      <c r="F32" s="12" t="s">
        <v>9</v>
      </c>
      <c r="G32" s="7"/>
      <c r="H32" s="6"/>
      <c r="I32" s="5" t="str">
        <f>IF(Dataset[[#This Row],[Price ($)]]&gt;500,"High Price","Standard Price")</f>
        <v>Standard Price</v>
      </c>
      <c r="J32" s="6"/>
      <c r="K32" s="10" t="str">
        <f>LEFT(Dataset[[#This Row],[Product ID]],2)</f>
        <v>24</v>
      </c>
      <c r="L32" s="4" t="str">
        <f>RIGHT(Dataset[[#This Row],[Product ID]],2)</f>
        <v>CA</v>
      </c>
      <c r="M32" s="4" t="str">
        <f>MID(Dataset[[#This Row],[Product ID]],4,3)</f>
        <v>MAY</v>
      </c>
    </row>
    <row r="33" spans="1:13" ht="15.75" customHeight="1" x14ac:dyDescent="0.25">
      <c r="A33" s="7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7" t="s">
        <v>13</v>
      </c>
      <c r="G33" s="7"/>
      <c r="H33" s="6"/>
      <c r="I33" s="5" t="str">
        <f>IF(Dataset[[#This Row],[Price ($)]]&gt;500,"High Price","Standard Price")</f>
        <v>Standard Price</v>
      </c>
      <c r="J33" s="6"/>
      <c r="K33" s="10" t="str">
        <f>LEFT(Dataset[[#This Row],[Product ID]],2)</f>
        <v>02</v>
      </c>
      <c r="L33" s="4" t="str">
        <f>RIGHT(Dataset[[#This Row],[Product ID]],2)</f>
        <v>CA</v>
      </c>
      <c r="M33" s="4" t="str">
        <f>MID(Dataset[[#This Row],[Product ID]],4,3)</f>
        <v>DEC</v>
      </c>
    </row>
    <row r="34" spans="1:13" ht="15.75" customHeight="1" x14ac:dyDescent="0.25">
      <c r="A34" s="12" t="s">
        <v>40</v>
      </c>
      <c r="B34" s="12" t="s">
        <v>7</v>
      </c>
      <c r="C34" s="12" t="s">
        <v>41</v>
      </c>
      <c r="D34" s="12">
        <v>950</v>
      </c>
      <c r="E34" s="12">
        <v>25</v>
      </c>
      <c r="F34" s="12" t="s">
        <v>9</v>
      </c>
      <c r="G34" s="7"/>
      <c r="H34" s="6"/>
      <c r="I34" s="5" t="str">
        <f>IF(Dataset[[#This Row],[Price ($)]]&gt;500,"High Price","Standard Price")</f>
        <v>High Price</v>
      </c>
      <c r="J34" s="6"/>
      <c r="K34" s="10" t="str">
        <f>LEFT(Dataset[[#This Row],[Product ID]],2)</f>
        <v>17</v>
      </c>
      <c r="L34" s="4" t="str">
        <f>RIGHT(Dataset[[#This Row],[Product ID]],2)</f>
        <v>IN</v>
      </c>
      <c r="M34" s="4" t="str">
        <f>MID(Dataset[[#This Row],[Product ID]],4,3)</f>
        <v>JUN</v>
      </c>
    </row>
    <row r="35" spans="1:13" ht="15.75" customHeight="1" x14ac:dyDescent="0.25">
      <c r="A35" s="7" t="s">
        <v>90</v>
      </c>
      <c r="B35" s="7" t="s">
        <v>91</v>
      </c>
      <c r="C35" s="7" t="s">
        <v>92</v>
      </c>
      <c r="D35" s="7">
        <v>100</v>
      </c>
      <c r="E35" s="7">
        <v>20</v>
      </c>
      <c r="F35" s="7" t="s">
        <v>53</v>
      </c>
      <c r="G35" s="7"/>
      <c r="H35" s="6"/>
      <c r="I35" s="5" t="str">
        <f>IF(Dataset[[#This Row],[Price ($)]]&gt;500,"High Price","Standard Price")</f>
        <v>Standard Price</v>
      </c>
      <c r="J35" s="6"/>
      <c r="K35" s="4" t="str">
        <f>LEFT(Dataset[[#This Row],[Product ID]],2)</f>
        <v>09</v>
      </c>
      <c r="L35" s="4" t="str">
        <f>RIGHT(Dataset[[#This Row],[Product ID]],2)</f>
        <v>FR</v>
      </c>
      <c r="M35" s="4" t="str">
        <f>MID(Dataset[[#This Row],[Product ID]],4,3)</f>
        <v>JUL</v>
      </c>
    </row>
    <row r="36" spans="1:13" ht="15.75" customHeight="1" x14ac:dyDescent="0.25"/>
    <row r="37" spans="1:13" ht="15.75" customHeight="1" x14ac:dyDescent="0.25"/>
    <row r="38" spans="1:13" ht="15.75" customHeight="1" x14ac:dyDescent="0.25"/>
    <row r="39" spans="1:13" ht="15.75" customHeight="1" x14ac:dyDescent="0.25"/>
    <row r="40" spans="1:13" ht="15.75" customHeight="1" x14ac:dyDescent="0.25"/>
    <row r="41" spans="1:13" ht="15.75" customHeight="1" x14ac:dyDescent="0.25"/>
    <row r="42" spans="1:13" ht="15.75" customHeight="1" x14ac:dyDescent="0.25"/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Malarmathi E.</dc:creator>
  <cp:lastModifiedBy>Malarmathi E.</cp:lastModifiedBy>
  <dcterms:created xsi:type="dcterms:W3CDTF">2026-06-06T16:30:49Z</dcterms:created>
  <dcterms:modified xsi:type="dcterms:W3CDTF">2026-06-06T16:30:49Z</dcterms:modified>
</cp:coreProperties>
</file>